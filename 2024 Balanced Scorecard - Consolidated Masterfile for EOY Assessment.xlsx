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james_philip_alfuttaim_com/Documents/CoEs/BSC 2024/"/>
    </mc:Choice>
  </mc:AlternateContent>
  <xr:revisionPtr revIDLastSave="0" documentId="8_{212C0873-6144-454A-BCB8-DA586E5B4B68}" xr6:coauthVersionLast="47" xr6:coauthVersionMax="47" xr10:uidLastSave="{00000000-0000-0000-0000-000000000000}"/>
  <bookViews>
    <workbookView xWindow="-108" yWindow="-108" windowWidth="23256" windowHeight="12456" tabRatio="961" activeTab="1" xr2:uid="{00000000-000D-0000-FFFF-FFFF00000000}"/>
  </bookViews>
  <sheets>
    <sheet name="Guidelines" sheetId="7" r:id="rId1"/>
    <sheet name="Auto President" sheetId="6" r:id="rId2"/>
    <sheet name="Auto Finance" sheetId="10" r:id="rId3"/>
    <sheet name="Auto HR" sheetId="11" r:id="rId4"/>
    <sheet name="Business Operations" sheetId="8" r:id="rId5"/>
    <sheet name="Developing Markets" sheetId="9" r:id="rId6"/>
    <sheet name="AFSRL" sheetId="12" r:id="rId7"/>
    <sheet name="Cust Centricity" sheetId="14" r:id="rId8"/>
    <sheet name="Net &amp; Planning" sheetId="15" r:id="rId9"/>
    <sheet name="Strat &amp; Transf" sheetId="16" r:id="rId10"/>
    <sheet name="New Business" sheetId="17" r:id="rId11"/>
    <sheet name="AF Logistics" sheetId="13" r:id="rId12"/>
    <sheet name="Auto IT" sheetId="18" r:id="rId13"/>
    <sheet name="AMW" sheetId="19" r:id="rId14"/>
    <sheet name="AGTL" sheetId="20" r:id="rId15"/>
    <sheet name="CMC" sheetId="21" r:id="rId16"/>
    <sheet name="Toyota Lexus UAE" sheetId="22" r:id="rId17"/>
    <sheet name="Reg Dealer Brands" sheetId="23" r:id="rId18"/>
    <sheet name="Elec Mobility" sheetId="24" r:id="rId19"/>
    <sheet name="Global Aftersales" sheetId="25" r:id="rId20"/>
    <sheet name="Fleet &amp; Remarketing" sheetId="26" r:id="rId21"/>
    <sheet name="Toyota Egypt" sheetId="27" r:id="rId22"/>
    <sheet name="Industrial Equip" sheetId="30" r:id="rId23"/>
    <sheet name="GR &amp; HSSE" sheetId="28" r:id="rId24"/>
    <sheet name="Ops Performance" sheetId="29" r:id="rId25"/>
    <sheet name="Sheet1" sheetId="31" r:id="rId26"/>
    <sheet name="H1 Acheivement template" sheetId="32" r:id="rId27"/>
  </sheets>
  <definedNames>
    <definedName name="Actuals" localSheetId="1">#REF!</definedName>
    <definedName name="Actuals" localSheetId="0">#REF!</definedName>
    <definedName name="Actuals">#REF!</definedName>
    <definedName name="sdsds" localSheetId="0">#REF!</definedName>
    <definedName name="sdsds">#REF!</definedName>
    <definedName name="Targets" localSheetId="1">#REF!</definedName>
    <definedName name="Targe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31" l="1"/>
  <c r="B22" i="31"/>
  <c r="F17" i="31"/>
  <c r="B17" i="31"/>
  <c r="F12" i="31"/>
  <c r="B12" i="31"/>
  <c r="F7" i="31"/>
  <c r="B7" i="31"/>
  <c r="D33" i="18"/>
  <c r="D34" i="18" s="1"/>
  <c r="H32" i="18"/>
  <c r="H31" i="18"/>
  <c r="H30" i="18"/>
  <c r="H29" i="18"/>
  <c r="H33" i="18" s="1"/>
  <c r="G35" i="18" s="1"/>
  <c r="D26" i="18"/>
  <c r="H25" i="18"/>
  <c r="H24" i="18"/>
  <c r="H23" i="18"/>
  <c r="H22" i="18"/>
  <c r="H21" i="18"/>
  <c r="H26" i="18" s="1"/>
  <c r="D18" i="18"/>
  <c r="H17" i="18"/>
  <c r="H16" i="18"/>
  <c r="H15" i="18"/>
  <c r="H14" i="18"/>
  <c r="H13" i="18"/>
  <c r="H18" i="18" s="1"/>
  <c r="H10" i="18"/>
  <c r="D10" i="18"/>
  <c r="H9" i="18"/>
  <c r="H8" i="18"/>
  <c r="H7" i="18"/>
  <c r="B23" i="31" l="1"/>
  <c r="E24" i="31"/>
  <c r="I41" i="30"/>
  <c r="H43" i="30" s="1"/>
  <c r="D41" i="30"/>
  <c r="D42" i="30" s="1"/>
  <c r="I34" i="30"/>
  <c r="D34" i="30"/>
  <c r="I28" i="30"/>
  <c r="D28" i="30"/>
  <c r="I15" i="30"/>
  <c r="D15" i="30"/>
  <c r="I39" i="29" l="1"/>
  <c r="H41" i="29" s="1"/>
  <c r="D39" i="29"/>
  <c r="D40" i="29" s="1"/>
  <c r="I33" i="29"/>
  <c r="D33" i="29"/>
  <c r="I25" i="29"/>
  <c r="D25" i="29"/>
  <c r="I12" i="29"/>
  <c r="D12" i="29"/>
  <c r="I29" i="28"/>
  <c r="D29" i="28"/>
  <c r="I23" i="28"/>
  <c r="D23" i="28"/>
  <c r="I17" i="28"/>
  <c r="D17" i="28"/>
  <c r="I9" i="28"/>
  <c r="D9" i="28"/>
  <c r="H43" i="27"/>
  <c r="I41" i="27"/>
  <c r="D41" i="27"/>
  <c r="I36" i="27"/>
  <c r="D36" i="27"/>
  <c r="I29" i="27"/>
  <c r="D29" i="27"/>
  <c r="I16" i="27"/>
  <c r="D16" i="27"/>
  <c r="D43" i="26"/>
  <c r="I42" i="26"/>
  <c r="H44" i="26" s="1"/>
  <c r="D42" i="26"/>
  <c r="I36" i="26"/>
  <c r="D36" i="26"/>
  <c r="I28" i="26"/>
  <c r="D28" i="26"/>
  <c r="I15" i="26"/>
  <c r="D15" i="26"/>
  <c r="H39" i="25"/>
  <c r="I37" i="25"/>
  <c r="D37" i="25"/>
  <c r="I31" i="25"/>
  <c r="D31" i="25"/>
  <c r="I24" i="25"/>
  <c r="D24" i="25"/>
  <c r="I14" i="25"/>
  <c r="D14" i="25"/>
  <c r="D38" i="25" s="1"/>
  <c r="I42" i="24"/>
  <c r="D42" i="24"/>
  <c r="I36" i="24"/>
  <c r="D36" i="24"/>
  <c r="I29" i="24"/>
  <c r="D29" i="24"/>
  <c r="I16" i="24"/>
  <c r="D16" i="24"/>
  <c r="I42" i="23"/>
  <c r="H44" i="23" s="1"/>
  <c r="D42" i="23"/>
  <c r="I36" i="23"/>
  <c r="D36" i="23"/>
  <c r="I29" i="23"/>
  <c r="D29" i="23"/>
  <c r="D43" i="23" s="1"/>
  <c r="I16" i="23"/>
  <c r="D16" i="23"/>
  <c r="H44" i="22"/>
  <c r="I42" i="22"/>
  <c r="D42" i="22"/>
  <c r="I36" i="22"/>
  <c r="D36" i="22"/>
  <c r="I29" i="22"/>
  <c r="D29" i="22"/>
  <c r="I16" i="22"/>
  <c r="D16" i="22"/>
  <c r="D33" i="21"/>
  <c r="H32" i="21"/>
  <c r="D32" i="21"/>
  <c r="H31" i="21"/>
  <c r="H30" i="21"/>
  <c r="H29" i="21"/>
  <c r="D26" i="21"/>
  <c r="H25" i="21"/>
  <c r="H26" i="21" s="1"/>
  <c r="H19" i="21"/>
  <c r="D19" i="21"/>
  <c r="D13" i="21"/>
  <c r="H12" i="21"/>
  <c r="H7" i="21"/>
  <c r="H13" i="21" s="1"/>
  <c r="D36" i="20"/>
  <c r="D37" i="20" s="1"/>
  <c r="H34" i="20"/>
  <c r="H33" i="20"/>
  <c r="H32" i="20"/>
  <c r="H36" i="20" s="1"/>
  <c r="D29" i="20"/>
  <c r="H28" i="20"/>
  <c r="H27" i="20"/>
  <c r="H26" i="20"/>
  <c r="H25" i="20"/>
  <c r="H29" i="20" s="1"/>
  <c r="H24" i="20"/>
  <c r="H23" i="20"/>
  <c r="D20" i="20"/>
  <c r="H19" i="20"/>
  <c r="H18" i="20"/>
  <c r="H17" i="20"/>
  <c r="H16" i="20"/>
  <c r="H20" i="20" s="1"/>
  <c r="D13" i="20"/>
  <c r="H12" i="20"/>
  <c r="H11" i="20"/>
  <c r="H10" i="20"/>
  <c r="H9" i="20"/>
  <c r="H8" i="20"/>
  <c r="H7" i="20"/>
  <c r="H13" i="20" s="1"/>
  <c r="D35" i="19"/>
  <c r="H34" i="19"/>
  <c r="D34" i="19"/>
  <c r="H28" i="19"/>
  <c r="D28" i="19"/>
  <c r="D21" i="19"/>
  <c r="H20" i="19"/>
  <c r="H19" i="19"/>
  <c r="H18" i="19"/>
  <c r="H17" i="19"/>
  <c r="H16" i="19"/>
  <c r="H21" i="19" s="1"/>
  <c r="D13" i="19"/>
  <c r="H12" i="19"/>
  <c r="H8" i="19"/>
  <c r="H7" i="19"/>
  <c r="H13" i="19" s="1"/>
  <c r="H44" i="24" l="1"/>
  <c r="D43" i="24"/>
  <c r="D30" i="28"/>
  <c r="H31" i="28"/>
  <c r="D42" i="27"/>
  <c r="D43" i="22"/>
  <c r="G34" i="21"/>
  <c r="G38" i="20"/>
  <c r="G36" i="19"/>
  <c r="H37" i="8" l="1"/>
  <c r="G39" i="8" s="1"/>
  <c r="D37" i="8"/>
  <c r="H31" i="8"/>
  <c r="D31" i="8"/>
  <c r="H23" i="8"/>
  <c r="D23" i="8"/>
  <c r="H12" i="8"/>
  <c r="D12" i="8"/>
  <c r="H7" i="6"/>
  <c r="H10" i="6" s="1"/>
  <c r="H8" i="6"/>
  <c r="H9" i="6"/>
  <c r="D10" i="6"/>
  <c r="H13" i="6"/>
  <c r="H14" i="6"/>
  <c r="D15" i="6"/>
  <c r="H15" i="6"/>
  <c r="H18" i="6"/>
  <c r="H19" i="6"/>
  <c r="D22" i="6"/>
  <c r="H22" i="6"/>
  <c r="H25" i="6"/>
  <c r="H26" i="6"/>
  <c r="D27" i="6"/>
  <c r="D28" i="6" s="1"/>
  <c r="H27" i="6"/>
  <c r="G29" i="6" s="1"/>
  <c r="D38" i="8" l="1"/>
  <c r="H10" i="12"/>
  <c r="H11" i="13" l="1"/>
  <c r="D34" i="9"/>
  <c r="D35" i="9" s="1"/>
  <c r="H33" i="9"/>
  <c r="H32" i="9"/>
  <c r="H34" i="9" s="1"/>
  <c r="D29" i="9"/>
  <c r="H28" i="9"/>
  <c r="H27" i="9"/>
  <c r="H26" i="9"/>
  <c r="H25" i="9"/>
  <c r="H24" i="9"/>
  <c r="H23" i="9"/>
  <c r="H29" i="9" s="1"/>
  <c r="H20" i="9"/>
  <c r="D20" i="9"/>
  <c r="H19" i="9"/>
  <c r="H18" i="9"/>
  <c r="H17" i="9"/>
  <c r="D14" i="9"/>
  <c r="H13" i="9"/>
  <c r="H12" i="9"/>
  <c r="H11" i="9"/>
  <c r="H10" i="9"/>
  <c r="H9" i="9"/>
  <c r="H8" i="9"/>
  <c r="H7" i="9"/>
  <c r="H14" i="9" s="1"/>
  <c r="G36" i="9" l="1"/>
  <c r="D35" i="12" l="1"/>
  <c r="H34" i="12"/>
  <c r="H33" i="12"/>
  <c r="H32" i="12"/>
  <c r="H35" i="12" s="1"/>
  <c r="D29" i="12"/>
  <c r="H28" i="12"/>
  <c r="H29" i="12" s="1"/>
  <c r="H27" i="12"/>
  <c r="H26" i="12"/>
  <c r="H25" i="12"/>
  <c r="H24" i="12"/>
  <c r="D21" i="12"/>
  <c r="H20" i="12"/>
  <c r="H19" i="12"/>
  <c r="H18" i="12"/>
  <c r="H21" i="12" s="1"/>
  <c r="H17" i="12"/>
  <c r="H16" i="12"/>
  <c r="D13" i="12"/>
  <c r="H12" i="12"/>
  <c r="H11" i="12"/>
  <c r="H9" i="12"/>
  <c r="H8" i="12"/>
  <c r="H7" i="12"/>
  <c r="D36" i="12" l="1"/>
  <c r="H13" i="12"/>
  <c r="G37" i="12" s="1"/>
  <c r="D29" i="14" l="1"/>
  <c r="D30" i="14" s="1"/>
  <c r="H27" i="14"/>
  <c r="H26" i="14"/>
  <c r="H29" i="14" s="1"/>
  <c r="G31" i="14" s="1"/>
  <c r="D23" i="14"/>
  <c r="H22" i="14"/>
  <c r="H20" i="14"/>
  <c r="H17" i="14"/>
  <c r="D17" i="14"/>
  <c r="D11" i="14"/>
  <c r="H9" i="14"/>
  <c r="H8" i="14"/>
  <c r="H11" i="14" s="1"/>
  <c r="H23" i="14" s="1"/>
  <c r="H7" i="14"/>
  <c r="H8" i="11"/>
  <c r="H7" i="11"/>
  <c r="H21" i="11"/>
  <c r="H9" i="17" l="1"/>
  <c r="H8" i="17"/>
  <c r="H24" i="10"/>
  <c r="H25" i="10"/>
  <c r="H31" i="10"/>
  <c r="H32" i="10"/>
  <c r="H30" i="13"/>
  <c r="H31" i="13"/>
  <c r="H29" i="13"/>
  <c r="H28" i="13"/>
  <c r="D25" i="13"/>
  <c r="G24" i="13"/>
  <c r="H24" i="13" s="1"/>
  <c r="H23" i="13"/>
  <c r="H22" i="13"/>
  <c r="H25" i="13" s="1"/>
  <c r="D19" i="13"/>
  <c r="H18" i="13"/>
  <c r="H17" i="13"/>
  <c r="G16" i="13"/>
  <c r="H16" i="13" s="1"/>
  <c r="H19" i="13" s="1"/>
  <c r="D13" i="13"/>
  <c r="G12" i="13"/>
  <c r="H12" i="13" s="1"/>
  <c r="H10" i="13"/>
  <c r="G9" i="13"/>
  <c r="H9" i="13" s="1"/>
  <c r="G8" i="13"/>
  <c r="H8" i="13" s="1"/>
  <c r="G7" i="13"/>
  <c r="H7" i="13" s="1"/>
  <c r="H13" i="13" l="1"/>
  <c r="H33" i="13" s="1"/>
  <c r="D32" i="13"/>
  <c r="D42" i="16" l="1"/>
  <c r="H41" i="16"/>
  <c r="D41" i="16"/>
  <c r="H40" i="16"/>
  <c r="H39" i="16"/>
  <c r="H38" i="16"/>
  <c r="D35" i="16"/>
  <c r="H34" i="16"/>
  <c r="H33" i="16"/>
  <c r="H35" i="16" s="1"/>
  <c r="D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30" i="16" s="1"/>
  <c r="D11" i="16"/>
  <c r="H10" i="16"/>
  <c r="H9" i="16"/>
  <c r="H8" i="16"/>
  <c r="H7" i="16"/>
  <c r="H30" i="17" l="1"/>
  <c r="D30" i="17"/>
  <c r="H29" i="17"/>
  <c r="H28" i="17"/>
  <c r="H27" i="17"/>
  <c r="D24" i="17"/>
  <c r="H23" i="17"/>
  <c r="H22" i="17"/>
  <c r="H24" i="17" s="1"/>
  <c r="D19" i="17"/>
  <c r="H18" i="17"/>
  <c r="H17" i="17"/>
  <c r="H16" i="17"/>
  <c r="H19" i="17" s="1"/>
  <c r="D13" i="17"/>
  <c r="D31" i="17" s="1"/>
  <c r="H12" i="17"/>
  <c r="H13" i="17" s="1"/>
  <c r="H11" i="17"/>
  <c r="H10" i="17"/>
  <c r="H7" i="17"/>
  <c r="G32" i="17" l="1"/>
  <c r="D31" i="15" l="1"/>
  <c r="H30" i="15"/>
  <c r="H29" i="15"/>
  <c r="H28" i="15"/>
  <c r="H31" i="15" s="1"/>
  <c r="H25" i="15"/>
  <c r="D25" i="15"/>
  <c r="D32" i="15" s="1"/>
  <c r="H24" i="15"/>
  <c r="H23" i="15"/>
  <c r="H22" i="15"/>
  <c r="H21" i="15"/>
  <c r="H20" i="15"/>
  <c r="D17" i="15"/>
  <c r="H16" i="15"/>
  <c r="H17" i="15" s="1"/>
  <c r="H15" i="15"/>
  <c r="H14" i="15"/>
  <c r="D11" i="15"/>
  <c r="H10" i="15"/>
  <c r="H9" i="15"/>
  <c r="H8" i="15"/>
  <c r="H7" i="15"/>
  <c r="H11" i="15" s="1"/>
  <c r="G33" i="15" l="1"/>
  <c r="D29" i="11" l="1"/>
  <c r="H28" i="11"/>
  <c r="H27" i="11"/>
  <c r="H29" i="11" s="1"/>
  <c r="D24" i="11"/>
  <c r="H23" i="11"/>
  <c r="H22" i="11"/>
  <c r="H20" i="11"/>
  <c r="H24" i="11" s="1"/>
  <c r="D17" i="11"/>
  <c r="H16" i="11"/>
  <c r="H15" i="11"/>
  <c r="H14" i="11"/>
  <c r="D11" i="11"/>
  <c r="H10" i="11"/>
  <c r="H9" i="11"/>
  <c r="D30" i="11" l="1"/>
  <c r="H17" i="11"/>
  <c r="H11" i="11"/>
  <c r="G31" i="11" s="1"/>
  <c r="D32" i="10" l="1"/>
  <c r="H30" i="10"/>
  <c r="H29" i="10"/>
  <c r="D26" i="10"/>
  <c r="H23" i="10"/>
  <c r="H26" i="10" s="1"/>
  <c r="D20" i="10"/>
  <c r="H19" i="10"/>
  <c r="H18" i="10"/>
  <c r="H17" i="10"/>
  <c r="H20" i="10" s="1"/>
  <c r="D14" i="10"/>
  <c r="H13" i="10"/>
  <c r="H12" i="10"/>
  <c r="H11" i="10"/>
  <c r="H10" i="10"/>
  <c r="H9" i="10"/>
  <c r="H8" i="10"/>
  <c r="H7" i="10"/>
  <c r="H14" i="10" l="1"/>
  <c r="G34" i="10"/>
  <c r="D33" i="10"/>
  <c r="G43" i="16" l="1"/>
  <c r="H11" i="16"/>
</calcChain>
</file>

<file path=xl/sharedStrings.xml><?xml version="1.0" encoding="utf-8"?>
<sst xmlns="http://schemas.openxmlformats.org/spreadsheetml/2006/main" count="2325" uniqueCount="869">
  <si>
    <t>Guidance Notes</t>
  </si>
  <si>
    <t>Weightages</t>
  </si>
  <si>
    <t>Linking Objectives to Strategic Initiatives</t>
  </si>
  <si>
    <t>Quadrants</t>
  </si>
  <si>
    <t>Quadrant</t>
  </si>
  <si>
    <t>Objective/KPI</t>
  </si>
  <si>
    <t>Strategic Initiative</t>
  </si>
  <si>
    <t>P&amp;L Businesses</t>
  </si>
  <si>
    <t>Enabling Functions/CoEs</t>
  </si>
  <si>
    <t>Financial</t>
  </si>
  <si>
    <r>
      <t xml:space="preserve">Column C.
Write the suitable strategic initiative in </t>
    </r>
    <r>
      <rPr>
        <b/>
        <sz val="12"/>
        <rFont val="Arial"/>
        <family val="2"/>
      </rPr>
      <t xml:space="preserve">bold </t>
    </r>
    <r>
      <rPr>
        <sz val="12"/>
        <rFont val="Arial"/>
        <family val="2"/>
      </rPr>
      <t>followed by colon (</t>
    </r>
    <r>
      <rPr>
        <b/>
        <sz val="12"/>
        <rFont val="Arial"/>
        <family val="2"/>
      </rPr>
      <t>:</t>
    </r>
    <r>
      <rPr>
        <sz val="12"/>
        <rFont val="Arial"/>
        <family val="2"/>
      </rPr>
      <t xml:space="preserve">).
Then write the objective in normal font. </t>
    </r>
  </si>
  <si>
    <t>Consolidate strong financial foundation</t>
  </si>
  <si>
    <t>Market</t>
  </si>
  <si>
    <t>Expand product, services &amp; geography</t>
  </si>
  <si>
    <t>Processes</t>
  </si>
  <si>
    <t>Build brand power</t>
  </si>
  <si>
    <t>People</t>
  </si>
  <si>
    <r>
      <t xml:space="preserve">Example:
</t>
    </r>
    <r>
      <rPr>
        <b/>
        <sz val="12"/>
        <rFont val="Arial"/>
        <family val="2"/>
      </rPr>
      <t>Increase digital sales power:</t>
    </r>
    <r>
      <rPr>
        <sz val="12"/>
        <rFont val="Arial"/>
        <family val="2"/>
      </rPr>
      <t xml:space="preserve"> Lead Management</t>
    </r>
  </si>
  <si>
    <t>Enhance customer experience</t>
  </si>
  <si>
    <t>Increase digital sales power</t>
  </si>
  <si>
    <t>Some deviation is permitted, but must be agreed with relevant parties (e.g. HRD, CFO)</t>
  </si>
  <si>
    <t>Enhance technology capabilities</t>
  </si>
  <si>
    <t>Improve operational excellence</t>
  </si>
  <si>
    <t>Develop and increase carbon neutral practices</t>
  </si>
  <si>
    <t>Develop efficient &amp; agile organization</t>
  </si>
  <si>
    <t xml:space="preserve">Targets should be mentioned in column E (e.g. Attend to 100% of quality leads within SLA) </t>
  </si>
  <si>
    <t>Become benchmark talent organization</t>
  </si>
  <si>
    <t>If an objective applies to more than one strategic initiative, choose the one with the stronger corelation</t>
  </si>
  <si>
    <t>Regional EV talent powerhouse</t>
  </si>
  <si>
    <t>All objectives should be linked to a strategic initiative. For further reference, use the strategic projects list</t>
  </si>
  <si>
    <t>Be a private sector leader for Emirati development</t>
  </si>
  <si>
    <t>Organization</t>
  </si>
  <si>
    <t>Automotive Division</t>
  </si>
  <si>
    <t>AL- FUTTAIM GROUP</t>
  </si>
  <si>
    <t>BALANCED SCORECARD</t>
  </si>
  <si>
    <t>FINANCIAL PERSPECTIVE</t>
  </si>
  <si>
    <t>OBJECTIVE/KPI</t>
  </si>
  <si>
    <t>WEIGHTAGE</t>
  </si>
  <si>
    <t>TARGET</t>
  </si>
  <si>
    <t>ACHIEVEMENT</t>
  </si>
  <si>
    <t>ACHIEVEMENT %</t>
  </si>
  <si>
    <t>WEIGHTED ACHIEVEMENT%</t>
  </si>
  <si>
    <t>COMMENTS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</si>
  <si>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</t>
    </r>
  </si>
  <si>
    <t>AED 4,377.5</t>
  </si>
  <si>
    <t>Overlay 4,650.2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</si>
  <si>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EBIT %</t>
    </r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</si>
  <si>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FCF (excl. Fin. Services)</t>
    </r>
  </si>
  <si>
    <t>AED 3,069</t>
  </si>
  <si>
    <t>Total Financial</t>
  </si>
  <si>
    <t>BUSINESS PROCESS PERSPECTIVE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</si>
  <si>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Programme</t>
    </r>
  </si>
  <si>
    <t>Deliver Transformation impact of AED 75 Mn in 2024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</si>
  <si>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Revenue plan</t>
    </r>
  </si>
  <si>
    <t>Devise plan to close AED 10Bn gap and close AED 5Bn in 2024</t>
  </si>
  <si>
    <t xml:space="preserve">Total Business Process </t>
  </si>
  <si>
    <t>MARKET PERSPECTIVE</t>
  </si>
  <si>
    <r>
      <rPr>
        <b/>
        <sz val="10"/>
        <rFont val="Arial"/>
        <family val="2"/>
      </rPr>
      <t xml:space="preserve">Enhance technology capabilities: </t>
    </r>
    <r>
      <rPr>
        <sz val="10"/>
        <rFont val="Arial"/>
        <family val="2"/>
      </rPr>
      <t>Customer ecosystem</t>
    </r>
  </si>
  <si>
    <t>Deliver customer ecosystem with lead management</t>
  </si>
  <si>
    <r>
      <rPr>
        <b/>
        <sz val="10"/>
        <rFont val="Arial"/>
        <family val="2"/>
      </rPr>
      <t>Increase digital sales power:</t>
    </r>
    <r>
      <rPr>
        <sz val="10"/>
        <rFont val="Arial"/>
        <family val="2"/>
      </rPr>
      <t xml:space="preserve"> Lead management</t>
    </r>
  </si>
  <si>
    <r>
      <rPr>
        <sz val="10"/>
        <color theme="1"/>
        <rFont val="Arial"/>
        <family val="2"/>
      </rPr>
      <t>85 %</t>
    </r>
    <r>
      <rPr>
        <sz val="10"/>
        <rFont val="Arial"/>
        <family val="2"/>
      </rPr>
      <t xml:space="preserve"> attended leads within SLA (when system is implemented)</t>
    </r>
  </si>
  <si>
    <r>
      <rPr>
        <b/>
        <sz val="10"/>
        <rFont val="Arial"/>
        <family val="2"/>
      </rPr>
      <t xml:space="preserve">Enhance customer experience: </t>
    </r>
    <r>
      <rPr>
        <sz val="10"/>
        <rFont val="Arial"/>
        <family val="2"/>
      </rPr>
      <t>NPS new units</t>
    </r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</si>
  <si>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NPS after-sales</t>
    </r>
  </si>
  <si>
    <t>Total Market</t>
  </si>
  <si>
    <t>PEOPLE PERSPECTIVE</t>
  </si>
  <si>
    <r>
      <rPr>
        <b/>
        <sz val="10"/>
        <rFont val="Arial"/>
        <family val="2"/>
      </rPr>
      <t>Become benchmark talent organization:</t>
    </r>
    <r>
      <rPr>
        <sz val="10"/>
        <rFont val="Arial"/>
        <family val="2"/>
      </rPr>
      <t xml:space="preserve"> Employee engagement</t>
    </r>
  </si>
  <si>
    <t xml:space="preserve">84% favourability </t>
  </si>
  <si>
    <t>83% in 2023. 86% by 2025, 88% by 2026</t>
  </si>
  <si>
    <r>
      <rPr>
        <b/>
        <sz val="10"/>
        <rFont val="Arial"/>
        <family val="2"/>
      </rPr>
      <t>Be a private sector leader for Emirati development:</t>
    </r>
    <r>
      <rPr>
        <sz val="10"/>
        <rFont val="Arial"/>
        <family val="2"/>
      </rPr>
      <t xml:space="preserve"> Emiratisation</t>
    </r>
  </si>
  <si>
    <t>10.7% in 2023. 16% by 2026</t>
  </si>
  <si>
    <t>Total People</t>
  </si>
  <si>
    <t>Total Weightage</t>
  </si>
  <si>
    <t>Overall Achievement</t>
  </si>
  <si>
    <t>Automotive Finance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</si>
  <si>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TOTAL AUTOMOTIVE</t>
    </r>
  </si>
  <si>
    <t>AED 4,377.5M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</si>
  <si>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FCF TOTAL AUTOMOTIVE</t>
    </r>
  </si>
  <si>
    <t>AED 3,069 (Excl. Financial Services, Rental &amp; Leasing)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</si>
  <si>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ROE (Financial Services, Rental &amp; Leasing Only)</t>
    </r>
  </si>
  <si>
    <t>15.6% (Financial Services, Rental &amp; Leasing Only)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</si>
  <si>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Indirect Expenses (excl. Provisions) % of Revenue - AUTOMOTIVE</t>
    </r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</si>
  <si>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Adjusted Average ROCE % - Excl. Financial Services, Rental &amp; Leasing</t>
    </r>
  </si>
  <si>
    <t>75.2% (Excl. Financial Services, Rental &amp; Leasing)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</si>
  <si>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Cash Conversion Cycle Days (CCC) - Excl. Financial Services, Rental &amp; Leasing</t>
    </r>
  </si>
  <si>
    <t>86 days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</si>
  <si>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Transformation Programme</t>
    </r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</si>
  <si>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% Indirect Cost/Revenue</t>
    </r>
  </si>
  <si>
    <t>Revenue Plan: Devise plan to close AED 10Bn gap and close AED 5Bn in 2024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</si>
  <si>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Internal Audit</t>
    </r>
  </si>
  <si>
    <t>No high risk Audit recommendations, due &gt;90 days</t>
  </si>
  <si>
    <r>
      <rPr>
        <b/>
        <sz val="10"/>
        <rFont val="Arial"/>
        <family val="2"/>
      </rPr>
      <t xml:space="preserve">Enhance technology capabilities: </t>
    </r>
    <r>
      <rPr>
        <sz val="10"/>
        <rFont val="Arial"/>
        <family val="2"/>
      </rPr>
      <t xml:space="preserve">RISE Project </t>
    </r>
  </si>
  <si>
    <t>RISE Project planned and first phases delivered on time and budget</t>
  </si>
  <si>
    <r>
      <rPr>
        <b/>
        <sz val="10"/>
        <rFont val="Arial"/>
        <family val="2"/>
      </rPr>
      <t xml:space="preserve">Enhance technology capabilities: </t>
    </r>
    <r>
      <rPr>
        <sz val="10"/>
        <rFont val="Arial"/>
        <family val="2"/>
      </rPr>
      <t>AI Roadmap</t>
    </r>
  </si>
  <si>
    <t>AI Roadmap developed and first use cases delivered on time and budget</t>
  </si>
  <si>
    <r>
      <rPr>
        <b/>
        <sz val="10"/>
        <rFont val="Arial"/>
        <family val="2"/>
      </rPr>
      <t>Develop efficient &amp; agile organization:</t>
    </r>
    <r>
      <rPr>
        <sz val="10"/>
        <rFont val="Arial"/>
        <family val="2"/>
      </rPr>
      <t xml:space="preserve"> Manpower Efficiency (total MPC % of revenue)</t>
    </r>
  </si>
  <si>
    <t>2024 Overlay Target COEs (Total = Indirect + Direct) of 1.86M</t>
  </si>
  <si>
    <r>
      <rPr>
        <b/>
        <sz val="10"/>
        <rFont val="Arial"/>
        <family val="2"/>
      </rPr>
      <t>Become benchmark talent organization:</t>
    </r>
    <r>
      <rPr>
        <sz val="10"/>
        <rFont val="Arial"/>
        <family val="2"/>
      </rPr>
      <t xml:space="preserve"> Employee Engagement</t>
    </r>
  </si>
  <si>
    <t>78% favourability score for Automotive Finance</t>
  </si>
  <si>
    <t xml:space="preserve">2023 favourability score:  73% </t>
  </si>
  <si>
    <t>Automotive HR</t>
  </si>
  <si>
    <r>
      <t xml:space="preserve">Consolidate strong financial foundation: </t>
    </r>
    <r>
      <rPr>
        <sz val="10"/>
        <rFont val="Arial"/>
        <family val="2"/>
      </rPr>
      <t>EBIT</t>
    </r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</si>
  <si>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MPC Budget</t>
    </r>
  </si>
  <si>
    <t>Budget AED 1.402 Bn</t>
  </si>
  <si>
    <r>
      <rPr>
        <b/>
        <sz val="10"/>
        <rFont val="Arial"/>
        <family val="2"/>
      </rPr>
      <t xml:space="preserve">Develop efficient &amp; agile organization: </t>
    </r>
    <r>
      <rPr>
        <sz val="10"/>
        <rFont val="Arial"/>
        <family val="2"/>
      </rPr>
      <t>Stretch MPC Efficiency</t>
    </r>
  </si>
  <si>
    <t>Overlay 5.0% (4.8% excl. AFL, 4.0% Trading Entities)</t>
  </si>
  <si>
    <r>
      <rPr>
        <b/>
        <sz val="10"/>
        <rFont val="Arial"/>
        <family val="2"/>
      </rPr>
      <t>Develop efficient &amp; agile organization:</t>
    </r>
    <r>
      <rPr>
        <sz val="10"/>
        <rFont val="Arial"/>
        <family val="2"/>
      </rPr>
      <t xml:space="preserve"> Strategic Workforce Planning (SWP)</t>
    </r>
  </si>
  <si>
    <t>1) Embed SWP framework in Strategy Planning cycle
2) Identify as least 3 SWP opportunities and benefits</t>
  </si>
  <si>
    <r>
      <rPr>
        <b/>
        <sz val="10"/>
        <rFont val="Arial"/>
        <family val="2"/>
      </rPr>
      <t>Regional EV talent powerhouse:</t>
    </r>
    <r>
      <rPr>
        <sz val="10"/>
        <rFont val="Arial"/>
        <family val="2"/>
      </rPr>
      <t xml:space="preserve"> Capability Building</t>
    </r>
  </si>
  <si>
    <t>1) 100% of EV employees IMI accredited
2) Set up EV training capability in KSA</t>
  </si>
  <si>
    <r>
      <rPr>
        <b/>
        <sz val="10"/>
        <rFont val="Arial"/>
        <family val="2"/>
      </rPr>
      <t xml:space="preserve">Become benchmark talent organization: </t>
    </r>
    <r>
      <rPr>
        <sz val="10"/>
        <rFont val="Arial"/>
        <family val="2"/>
      </rPr>
      <t>Talent Management</t>
    </r>
  </si>
  <si>
    <t>Identify top 50 critical roles and succession plans incl. external talent bench where there are no successors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</si>
  <si>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BYD KSA</t>
    </r>
  </si>
  <si>
    <t>Completion of all HR deliverables within agreed project timeframes</t>
  </si>
  <si>
    <r>
      <rPr>
        <b/>
        <sz val="10"/>
        <rFont val="Arial"/>
        <family val="2"/>
      </rPr>
      <t>Become benchmark talent organization</t>
    </r>
    <r>
      <rPr>
        <sz val="10"/>
        <rFont val="Arial"/>
        <family val="2"/>
      </rPr>
      <t>: Executive Development</t>
    </r>
  </si>
  <si>
    <t>Launch a Executive Leadership Development Programme</t>
  </si>
  <si>
    <r>
      <rPr>
        <b/>
        <sz val="10"/>
        <rFont val="Arial"/>
        <family val="2"/>
      </rPr>
      <t xml:space="preserve">Become benchmark talent organization: </t>
    </r>
    <r>
      <rPr>
        <sz val="10"/>
        <rFont val="Arial"/>
        <family val="2"/>
      </rPr>
      <t>Executive Hiring</t>
    </r>
  </si>
  <si>
    <t>Introduce end-to-end executive hiring and selection method incl. assessments</t>
  </si>
  <si>
    <r>
      <rPr>
        <b/>
        <sz val="10"/>
        <rFont val="Arial"/>
        <family val="2"/>
      </rPr>
      <t xml:space="preserve">Become benchmark talent organization: </t>
    </r>
    <r>
      <rPr>
        <sz val="10"/>
        <rFont val="Arial"/>
        <family val="2"/>
      </rPr>
      <t>Team Engagement</t>
    </r>
  </si>
  <si>
    <t>82% favourability score for Automotive HR team</t>
  </si>
  <si>
    <t>71% in 2022. 77% in 2023</t>
  </si>
  <si>
    <r>
      <rPr>
        <b/>
        <sz val="10"/>
        <rFont val="Arial"/>
        <family val="2"/>
      </rPr>
      <t xml:space="preserve">Become benchmark talent organization: </t>
    </r>
    <r>
      <rPr>
        <sz val="10"/>
        <rFont val="Arial"/>
        <family val="2"/>
      </rPr>
      <t>Divisional Engagement</t>
    </r>
  </si>
  <si>
    <t>84% favourability score for Automotive division</t>
  </si>
  <si>
    <t xml:space="preserve">79% in 2022. 83% in 2023. 88% by 2026 </t>
  </si>
  <si>
    <t>Automotive Business Operations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</si>
  <si>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Total Automotive</t>
    </r>
  </si>
  <si>
    <t>4377.5M AED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</si>
  <si>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% - Total Automotive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</si>
  <si>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FCF - Excl. Financial Services, Rental &amp; Leasing</t>
    </r>
  </si>
  <si>
    <t>AED 3,060.0M (Excl. Financial Services, Rental &amp; Leasing)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</si>
  <si>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Cash Conversion Cycle Days (CCC) - Excl. Financial Services, Rental &amp; Leasing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</si>
  <si>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Indirect Expenses (excl. Provisions) % of Revenue</t>
    </r>
  </si>
  <si>
    <r>
      <t xml:space="preserve">Enhance technology capabilities: </t>
    </r>
    <r>
      <rPr>
        <sz val="10"/>
        <rFont val="Arial"/>
        <family val="2"/>
      </rPr>
      <t>Customer Ecosystem</t>
    </r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</si>
  <si>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Leads Unattended %</t>
    </r>
  </si>
  <si>
    <t>85% of leads passed to branch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</si>
  <si>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 Leads Turnaround Time</t>
    </r>
  </si>
  <si>
    <t>Within 24 hours</t>
  </si>
  <si>
    <t>Full year average response time across leads</t>
  </si>
  <si>
    <r>
      <rPr>
        <b/>
        <sz val="10"/>
        <rFont val="Arial"/>
        <family val="2"/>
      </rPr>
      <t xml:space="preserve">Improve operational excellence (sales): </t>
    </r>
    <r>
      <rPr>
        <sz val="10"/>
        <rFont val="Arial"/>
        <family val="2"/>
      </rPr>
      <t>Stock Ageing; ideal stock depth 1.9 on new</t>
    </r>
  </si>
  <si>
    <t>New Car &lt;5% total stock &gt;180 days</t>
  </si>
  <si>
    <r>
      <rPr>
        <b/>
        <sz val="10"/>
        <rFont val="Arial"/>
        <family val="2"/>
      </rPr>
      <t xml:space="preserve">Improve operational excellence (used cars): </t>
    </r>
    <r>
      <rPr>
        <sz val="10"/>
        <rFont val="Arial"/>
        <family val="2"/>
      </rPr>
      <t>Used Stock Ageing (% total stock &gt;90 days)</t>
    </r>
  </si>
  <si>
    <t>&lt;15% CPOV | &lt;10% Automall</t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</si>
  <si>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Finance Penetration % (brokerage | leasing | other)</t>
    </r>
  </si>
  <si>
    <t>B2C UAE PC brands - Toyota, Lexus, Honda, CJDR, Volvo, Polestar, BYD and Automall (per Nikhil Chaturvedi, AFF Senior Manager FP&amp;A)</t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</si>
  <si>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Accessories (AED) per New Unit</t>
    </r>
  </si>
  <si>
    <t>UAE Tier 1 only</t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</si>
  <si>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Parts Aged Stock &gt;3 Years (% total stock &gt;3 years)</t>
    </r>
  </si>
  <si>
    <t>&lt;5.0%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</si>
  <si>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New Volume (subject to ideal stock depth of the brand throughout the year) / stock coverage</t>
    </r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</si>
  <si>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Used Volume</t>
    </r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</si>
  <si>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Service Retention</t>
    </r>
  </si>
  <si>
    <t>UAE Tier 1 only Retail Service Retention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</si>
  <si>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NPS (new sales)</t>
    </r>
  </si>
  <si>
    <t>UAE + OMASCO &amp; DOMASCO As per bottom up location based NPS matrix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</si>
  <si>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NPS (service)</t>
    </r>
  </si>
  <si>
    <t>UAE Service + FastFit + Bodyshop</t>
  </si>
  <si>
    <r>
      <rPr>
        <b/>
        <sz val="10"/>
        <rFont val="Arial"/>
        <family val="2"/>
      </rPr>
      <t xml:space="preserve">Develop efficient &amp; agile organization: </t>
    </r>
    <r>
      <rPr>
        <sz val="10"/>
        <rFont val="Arial"/>
        <family val="2"/>
      </rPr>
      <t>Manpower Efficiency (total MPC % of revenue)</t>
    </r>
  </si>
  <si>
    <t>3.77%: 2024 Overlay Total MPC % Revenue for Busines Operation entites (Total = Indirect + Direct)
2024 Overlay Target COEs  (Total = Indirect + Direct) of 0.52M</t>
  </si>
  <si>
    <t>Achieve no less than 13% Emiratisation by end of 2024.***If Emiratisation was equal to 13% or higher in 2023, target in 2024 is to maintain % Emiratisation.</t>
  </si>
  <si>
    <t xml:space="preserve">2023 favourability score:  81% </t>
  </si>
  <si>
    <t>84% favourability score for Business operations</t>
  </si>
  <si>
    <t>Developing Markets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</si>
  <si>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Automotive</t>
    </r>
  </si>
  <si>
    <t>Achieve EBIT = AED 4,377.5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</si>
  <si>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Developing Markets</t>
    </r>
  </si>
  <si>
    <t>Achieve EBIT = AED 57.5m --&gt; AGTL: (AED78.1m); AMW: (AED2.9m); CMC: (AED 17.8m)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</si>
  <si>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FCF - Developing Markets</t>
    </r>
  </si>
  <si>
    <t xml:space="preserve">FCF = AED 57.4m --&gt; AGTL: (AED 42.5m); AMW: (AED -20.3m); CMC: (AED 35.1m) 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</si>
  <si>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Indirect Expenses (excl. Provisions) % of Revenue - Automotive</t>
    </r>
  </si>
  <si>
    <t xml:space="preserve">11.7% --&gt; AGTL: 5.5%; AMW: 31.5%; CMC: 23.1% 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</si>
  <si>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Adj. Av. ROCE - Developing Markets</t>
    </r>
  </si>
  <si>
    <t xml:space="preserve">ROCE % = 16.6% --&gt; AGTL: 61.2%; AMW: -2.2%; CMC: -19.8% </t>
  </si>
  <si>
    <r>
      <rPr>
        <b/>
        <sz val="10"/>
        <rFont val="Arial"/>
        <family val="2"/>
      </rPr>
      <t>Consolidate strong financial foundation</t>
    </r>
    <r>
      <rPr>
        <sz val="10"/>
        <rFont val="Arial"/>
        <family val="2"/>
      </rPr>
      <t>: EBIT % Developing Markets</t>
    </r>
  </si>
  <si>
    <t xml:space="preserve">EBIT % = 6.3% --&gt; AGTL: 12.4%; AMW: -3.0%; CMC: -10.0% 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</si>
  <si>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CCC - Developing Markets</t>
    </r>
  </si>
  <si>
    <t xml:space="preserve">CCC = 49 days --&gt; AGTL: 31; AMW: 174; CMC: 45 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</si>
  <si>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Programme - AGTL</t>
    </r>
  </si>
  <si>
    <t>Launch of new NH850 in Pakistan with clear measurable launch plan.  Monthly steering committee meetings with Automotive President.  No unforeseen risks / issues to arise.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</si>
  <si>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Programme - AMW</t>
    </r>
  </si>
  <si>
    <t>Develop and deliver clear transformation programme of work: monthly steering committee meetings with Automotive President.  No unforeseen risks / issues to arise.</t>
  </si>
  <si>
    <t>Transformation programme initiated in January '24.  Completing 'current state' review after which key action plans and timelines to be developed.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</si>
  <si>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Programme - CMC</t>
    </r>
  </si>
  <si>
    <r>
      <rPr>
        <b/>
        <sz val="10"/>
        <rFont val="Arial"/>
        <family val="2"/>
      </rPr>
      <t>Improve operational excellence (Sales - AGTL):</t>
    </r>
    <r>
      <rPr>
        <sz val="10"/>
        <rFont val="Arial"/>
        <family val="2"/>
      </rPr>
      <t xml:space="preserve"> Tractor stock factor to be at (or below) ideal level + sales volume (market share)</t>
    </r>
  </si>
  <si>
    <t>2.0 months of stock by year end.  Achieve 18,571 wholesales with a market share of 42%</t>
  </si>
  <si>
    <r>
      <rPr>
        <b/>
        <sz val="10"/>
        <rFont val="Arial"/>
        <family val="2"/>
      </rPr>
      <t>Improve operational excellence (Sales - AMW):</t>
    </r>
    <r>
      <rPr>
        <sz val="10"/>
        <rFont val="Arial"/>
        <family val="2"/>
      </rPr>
      <t xml:space="preserve"> Gross margin of Yamaha outboard motors</t>
    </r>
  </si>
  <si>
    <t>Achieve AED 2.6m gross margin through sales of Yamaha outboard motors</t>
  </si>
  <si>
    <r>
      <rPr>
        <b/>
        <sz val="10"/>
        <rFont val="Arial"/>
        <family val="2"/>
      </rPr>
      <t>Improve operational excellence (Aftersales - AMW):</t>
    </r>
    <r>
      <rPr>
        <sz val="10"/>
        <rFont val="Arial"/>
        <family val="2"/>
      </rPr>
      <t xml:space="preserve"> Sales of parts, lubricants and service </t>
    </r>
  </si>
  <si>
    <t>Achieve AED 5m gross margin in aftersales business: lubricants (AED 4m); Parts B2B (AED 0.4m); Aftersales (AED 0.6m)</t>
  </si>
  <si>
    <r>
      <rPr>
        <b/>
        <sz val="10"/>
        <rFont val="Arial"/>
        <family val="2"/>
      </rPr>
      <t>Improve operational excellence (Sales - CMC):</t>
    </r>
    <r>
      <rPr>
        <sz val="10"/>
        <rFont val="Arial"/>
        <family val="2"/>
      </rPr>
      <t xml:space="preserve"> Network Development</t>
    </r>
  </si>
  <si>
    <t>Open 5 new satellite container locations: Kenya (2); Tanzania (2) and Uganda (1)</t>
  </si>
  <si>
    <r>
      <rPr>
        <b/>
        <sz val="10"/>
        <rFont val="Arial"/>
        <family val="2"/>
      </rPr>
      <t>Improve operational excellence (Sales - CMC):</t>
    </r>
    <r>
      <rPr>
        <sz val="10"/>
        <rFont val="Arial"/>
        <family val="2"/>
      </rPr>
      <t xml:space="preserve"> Property portfolio</t>
    </r>
  </si>
  <si>
    <t>Develop plan to lease out properties in Kenya to generate AED 5.6m rental income from 3rd parties</t>
  </si>
  <si>
    <r>
      <rPr>
        <b/>
        <sz val="10"/>
        <rFont val="Arial"/>
        <family val="2"/>
      </rPr>
      <t>Improve operational excellence (Aftersales - CMC):</t>
    </r>
    <r>
      <rPr>
        <sz val="10"/>
        <rFont val="Arial"/>
        <family val="2"/>
      </rPr>
      <t xml:space="preserve"> Aftersales gross margin</t>
    </r>
  </si>
  <si>
    <t>Achieve AED 5.2m gross margin in aftersales business</t>
  </si>
  <si>
    <r>
      <rPr>
        <b/>
        <sz val="10"/>
        <rFont val="Arial"/>
        <family val="2"/>
      </rPr>
      <t xml:space="preserve">Become benchmark talent organization: </t>
    </r>
    <r>
      <rPr>
        <sz val="10"/>
        <rFont val="Arial"/>
        <family val="2"/>
      </rPr>
      <t>Employee Engagement</t>
    </r>
  </si>
  <si>
    <t>71% favourability score for Developing Markets</t>
  </si>
  <si>
    <r>
      <t>2023 favourability score:  66</t>
    </r>
    <r>
      <rPr>
        <sz val="11"/>
        <color rgb="FF000000"/>
        <rFont val="Calibri"/>
        <family val="2"/>
      </rPr>
      <t xml:space="preserve">% </t>
    </r>
  </si>
  <si>
    <r>
      <rPr>
        <b/>
        <sz val="10"/>
        <rFont val="Arial"/>
        <family val="2"/>
      </rPr>
      <t>Develop an efficient &amp; agile organization:</t>
    </r>
    <r>
      <rPr>
        <sz val="10"/>
        <rFont val="Arial"/>
        <family val="2"/>
      </rPr>
      <t xml:space="preserve"> Manpower Efficiency (total MPC % of revenue)</t>
    </r>
  </si>
  <si>
    <t>Developing Market entities includes: AGTL Pakistan, CMC East Africa &amp; AMW Ltd Srilanka
2024 Overlay Total MPC % Revenue (Total = Indirect + Direct) of 5.61%</t>
  </si>
  <si>
    <t>Financial Services, Rental &amp; Leasing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</si>
  <si>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Financial Services </t>
    </r>
  </si>
  <si>
    <t>AED 200.2Mn</t>
  </si>
  <si>
    <r>
      <t xml:space="preserve">Consolidate strong financial foundation: </t>
    </r>
    <r>
      <rPr>
        <sz val="10"/>
        <rFont val="Arial"/>
        <family val="2"/>
      </rPr>
      <t>EBIT % to Revenue</t>
    </r>
  </si>
  <si>
    <t>Financial services 24.2%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</si>
  <si>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ROE - Financial Services, Rental &amp; Leasing Only</t>
    </r>
  </si>
  <si>
    <t>15.4%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</si>
  <si>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FCF - Financial Services, Rental &amp; Leasing</t>
    </r>
  </si>
  <si>
    <t>AED +35.9 Mn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</si>
  <si>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Indirect Expenses (excl. Provisions) % of Revenue Automotive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</si>
  <si>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Automotive </t>
    </r>
  </si>
  <si>
    <t>AED 4377.5Mn</t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</si>
  <si>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Finance Brokerage Penetration </t>
    </r>
  </si>
  <si>
    <t xml:space="preserve">Penetration  : 58% </t>
  </si>
  <si>
    <r>
      <rPr>
        <b/>
        <sz val="10"/>
        <rFont val="Arial"/>
        <family val="2"/>
      </rPr>
      <t xml:space="preserve">Improve operational excellence (sales): </t>
    </r>
    <r>
      <rPr>
        <sz val="10"/>
        <rFont val="Arial"/>
        <family val="2"/>
      </rPr>
      <t xml:space="preserve">Leasing Penetration </t>
    </r>
  </si>
  <si>
    <t xml:space="preserve">Leasing Penetration : 6% </t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</si>
  <si>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Motor Insurance Penetration </t>
    </r>
  </si>
  <si>
    <t>Motor Insurance Pen: 41%</t>
  </si>
  <si>
    <r>
      <rPr>
        <b/>
        <sz val="10"/>
        <rFont val="Arial"/>
        <family val="2"/>
      </rPr>
      <t>Improve operational excellence (used cars):</t>
    </r>
    <r>
      <rPr>
        <sz val="10"/>
        <rFont val="Arial"/>
        <family val="2"/>
      </rPr>
      <t xml:space="preserve"> Rental and Leasing utilization Utilization </t>
    </r>
  </si>
  <si>
    <t>Rental : 81.7%
Leasing : 94%</t>
  </si>
  <si>
    <r>
      <rPr>
        <b/>
        <sz val="10"/>
        <rFont val="Arial"/>
        <family val="2"/>
      </rPr>
      <t>Improve operational excellence (used cars):</t>
    </r>
    <r>
      <rPr>
        <sz val="10"/>
        <rFont val="Arial"/>
        <family val="2"/>
      </rPr>
      <t xml:space="preserve"> Rent per day  Rent per month</t>
    </r>
  </si>
  <si>
    <t>RPD : 148
RPM : 2,554
LPM : 2,590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</si>
  <si>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Lease-to-own launch and partnership</t>
    </r>
  </si>
  <si>
    <t>Full in house launch for all brands, bank partnership (DIB)</t>
  </si>
  <si>
    <r>
      <rPr>
        <b/>
        <sz val="10"/>
        <rFont val="Arial"/>
        <family val="2"/>
      </rPr>
      <t>Increase digital sales power:</t>
    </r>
    <r>
      <rPr>
        <sz val="10"/>
        <rFont val="Arial"/>
        <family val="2"/>
      </rPr>
      <t xml:space="preserve"> Deliver rental digitization and develop digital roadmap for fleetmanagement (rental, leasing backoffice)</t>
    </r>
  </si>
  <si>
    <t xml:space="preserve">Front end digital solution for rental counters, Reduce turn-around time from 20 minutes to 5 minutes </t>
  </si>
  <si>
    <r>
      <rPr>
        <b/>
        <sz val="10"/>
        <rFont val="Arial"/>
        <family val="2"/>
      </rPr>
      <t>Increase digital sales power:</t>
    </r>
    <r>
      <rPr>
        <sz val="10"/>
        <rFont val="Arial"/>
        <family val="2"/>
      </rPr>
      <t xml:space="preserve"> Feasibility Study Future of Finance (Digital F&amp;I marketplace)</t>
    </r>
  </si>
  <si>
    <t xml:space="preserve">Roadmap for digital marketplace 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</si>
  <si>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NPS rental and leasing </t>
    </r>
  </si>
  <si>
    <t>Hertz: 60   MOOV: 60</t>
  </si>
  <si>
    <r>
      <t xml:space="preserve">Expand product, services &amp; geography : </t>
    </r>
    <r>
      <rPr>
        <sz val="10"/>
        <rFont val="Arial"/>
        <family val="2"/>
      </rPr>
      <t>Support KSA for Silver and Famco</t>
    </r>
  </si>
  <si>
    <t>Brokerage and Leasing readiness for Silver, 3 brokerage banks for Famco</t>
  </si>
  <si>
    <t>2024 Overlay Total MPC % Revenue (Total = Indirect + Direct) of 16.95%</t>
  </si>
  <si>
    <t>FSRL entities includes: AF Finance, Hertz, H&amp;M, Moov, AVR Qatar, Thrify Oman, AMW CL
MPC % of Rev (B2024):  17.65%</t>
  </si>
  <si>
    <t>84% favourability score for FSRL</t>
  </si>
  <si>
    <t xml:space="preserve">2023 favourability score: 83% </t>
  </si>
  <si>
    <t>Customer Centricity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</si>
  <si>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
Indirect Expenses (excl. Provisions) % of Revenue 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</si>
  <si>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
Indirect costs optimization</t>
    </r>
  </si>
  <si>
    <t>Marketing Costs vs Overlay for GDA Costs plus Brand Costs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</si>
  <si>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Project Silver launch</t>
    </r>
  </si>
  <si>
    <t>Launch in 3 cities and develop plan to break-even by 2026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</si>
  <si>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
Deliver Customer Ecosystem</t>
    </r>
  </si>
  <si>
    <t>- Deliver C4C &amp; Emarsys as per revised roll-out timeline and budget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</si>
  <si>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
Digital Customer Experience Team lead management</t>
    </r>
  </si>
  <si>
    <t>- Launch DCET Team in May (dependency on final outcome of OD Lead Management discussion &amp; HC approval)
- Lead TAT: 80% of total lead attended within 60 mins 
- 0 Unattended Leads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</si>
  <si>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
Lead Qualification - CEC</t>
    </r>
  </si>
  <si>
    <t xml:space="preserve">- CEC Turnaround time &lt; 60 Mins
- 0 unattended Leads by CEC </t>
  </si>
  <si>
    <r>
      <rPr>
        <b/>
        <sz val="10"/>
        <rFont val="Arial"/>
        <family val="2"/>
      </rPr>
      <t>Increase Digital Sales Power:</t>
    </r>
    <r>
      <rPr>
        <sz val="10"/>
        <rFont val="Arial"/>
        <family val="2"/>
      </rPr>
      <t xml:space="preserve">
Data Driven Use Cases</t>
    </r>
  </si>
  <si>
    <r>
      <t>Deliver the following 4</t>
    </r>
    <r>
      <rPr>
        <b/>
        <sz val="10"/>
        <rFont val="Arial"/>
        <family val="2"/>
      </rPr>
      <t>02 Data Driven Use Cases execution &amp; Incrementalit</t>
    </r>
    <r>
      <rPr>
        <sz val="10"/>
        <rFont val="Arial"/>
        <family val="2"/>
      </rPr>
      <t xml:space="preserve">y:
</t>
    </r>
    <r>
      <rPr>
        <b/>
        <sz val="10"/>
        <rFont val="Arial"/>
        <family val="2"/>
      </rPr>
      <t>Sales</t>
    </r>
    <r>
      <rPr>
        <sz val="10"/>
        <rFont val="Arial"/>
        <family val="2"/>
      </rPr>
      <t xml:space="preserve">
- Product Launches: 10 campaigns ith 400 incremental Leads &amp; 20 incremental Orders
- Repurchase / Resolicitation: 200 campaigns with 1,200 incremental Leads &amp; 300 incremental Orders
- Lapsed Leads Reactivation: 48 campaigns with 600 incremental Leads &amp; 20 incremental Orders
</t>
    </r>
    <r>
      <rPr>
        <b/>
        <sz val="10"/>
        <rFont val="Arial"/>
        <family val="2"/>
      </rPr>
      <t>Aftersales</t>
    </r>
    <r>
      <rPr>
        <sz val="10"/>
        <rFont val="Arial"/>
        <family val="2"/>
      </rPr>
      <t xml:space="preserve">
- Churn Prevention: 96 campaigns with 650 incremental Appointments &amp; 520 incremental VIN visits
- Service Lapsed Customers Reactivation: 48 campaigns with 160 incremental Appointments &amp; 130 incremental VIN Visits</t>
    </r>
  </si>
  <si>
    <r>
      <t xml:space="preserve">Increase Digital Sales Power:
</t>
    </r>
    <r>
      <rPr>
        <sz val="10"/>
        <rFont val="Arial"/>
        <family val="2"/>
      </rPr>
      <t>eCommerce</t>
    </r>
  </si>
  <si>
    <t>Increase web ecommerce new car deposits for AFM, EV brand and Automall by 15%</t>
  </si>
  <si>
    <r>
      <t xml:space="preserve">Enhance Customer Experience:
</t>
    </r>
    <r>
      <rPr>
        <sz val="10"/>
        <rFont val="Arial"/>
        <family val="2"/>
      </rPr>
      <t>Blue x Auto collaboration</t>
    </r>
  </si>
  <si>
    <t>Generate 1,000 Leads &amp; 32 Orders from the Auto section in Blue on monthly basis</t>
  </si>
  <si>
    <t xml:space="preserve"> </t>
  </si>
  <si>
    <t>Business Case &amp; Proposal reviewed by VP, CFO and MDs in Jan. 
To be presented to President in February to proceed with AFE submission</t>
  </si>
  <si>
    <r>
      <rPr>
        <b/>
        <sz val="10"/>
        <rFont val="Arial"/>
        <family val="2"/>
      </rPr>
      <t>Develop efficient &amp; agile organization:</t>
    </r>
    <r>
      <rPr>
        <sz val="10"/>
        <rFont val="Arial"/>
        <family val="2"/>
      </rPr>
      <t xml:space="preserve"> 
Manpower Efficiency  (total MPC % of revenue)</t>
    </r>
  </si>
  <si>
    <t>2024 Overlay Target (Total = Indirect + Direct) of 1.61M</t>
  </si>
  <si>
    <t>COEs Includes: GDA Customer Centricity</t>
  </si>
  <si>
    <r>
      <rPr>
        <b/>
        <sz val="10"/>
        <rFont val="Arial"/>
        <family val="2"/>
      </rPr>
      <t>Be a private sector leader for Emirati development:</t>
    </r>
    <r>
      <rPr>
        <sz val="10"/>
        <rFont val="Arial"/>
        <family val="2"/>
      </rPr>
      <t xml:space="preserve"> 
Emiratisation</t>
    </r>
  </si>
  <si>
    <r>
      <rPr>
        <b/>
        <sz val="10"/>
        <rFont val="Arial"/>
        <family val="2"/>
      </rPr>
      <t>Become benchmark talent organization:</t>
    </r>
    <r>
      <rPr>
        <sz val="10"/>
        <rFont val="Arial"/>
        <family val="2"/>
      </rPr>
      <t xml:space="preserve"> 
Employee Engagement</t>
    </r>
  </si>
  <si>
    <t>2024 Target : 77% favourability score for Customer Centricity</t>
  </si>
  <si>
    <t xml:space="preserve">2023 favourability score:  72% </t>
  </si>
  <si>
    <t>Automotive Network, Planning &amp; Pricing</t>
  </si>
  <si>
    <t>FCF (excl. Fin. Services): AED 3,069m</t>
  </si>
  <si>
    <t xml:space="preserve">Stock Impact FCF </t>
  </si>
  <si>
    <r>
      <t xml:space="preserve">Consolidate strong financial foundation: </t>
    </r>
    <r>
      <rPr>
        <sz val="10"/>
        <rFont val="Arial"/>
        <family val="2"/>
      </rPr>
      <t>Cash Conversion Cycle Days (CCC) - 
Excl. Financial Services, Rental &amp; Leasing</t>
    </r>
  </si>
  <si>
    <t xml:space="preserve">86 days </t>
  </si>
  <si>
    <t>Indirect Expenses (excl. Provisions) % of Revenue: 11.1%</t>
  </si>
  <si>
    <t>Maintenance / Depreciation /  Rent</t>
  </si>
  <si>
    <r>
      <t>Improve operational excellence (sales):</t>
    </r>
    <r>
      <rPr>
        <sz val="10"/>
        <rFont val="Arial"/>
        <family val="2"/>
      </rPr>
      <t xml:space="preserve"> Average MOS of new cars </t>
    </r>
  </si>
  <si>
    <t xml:space="preserve">MOS UAE 1.8 MOS &amp; INT 1.5 MOS </t>
  </si>
  <si>
    <t>2023: UAE 2.1 MOS, INT 1.7 MOS</t>
  </si>
  <si>
    <r>
      <rPr>
        <b/>
        <sz val="10"/>
        <rFont val="Arial"/>
        <family val="2"/>
      </rPr>
      <t>Improve operational excellence (network):</t>
    </r>
    <r>
      <rPr>
        <sz val="10"/>
        <rFont val="Arial"/>
        <family val="2"/>
      </rPr>
      <t xml:space="preserve">  Project pipeline management (ND Steerco) </t>
    </r>
  </si>
  <si>
    <t>Agree and Quantify Priority Projects and deliver 90% in timeline</t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</si>
  <si>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New Stock Ageing (% total stock &gt;180 days)</t>
    </r>
  </si>
  <si>
    <t xml:space="preserve">Not to exceed 5% </t>
  </si>
  <si>
    <t xml:space="preserve">2023: Close UAE 5.2% (910 units)  , International 1.7% (33 units) 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</si>
  <si>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New car volume </t>
    </r>
  </si>
  <si>
    <t xml:space="preserve">UAE 103626, INT 16442 : Total New 120068 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</si>
  <si>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Support establish the new market network expansion </t>
    </r>
  </si>
  <si>
    <t xml:space="preserve">Deliver BYD Projects as per timeline in KSA following priority listing. 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</si>
  <si>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NPS Sales </t>
    </r>
  </si>
  <si>
    <t>2023 : 85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</si>
  <si>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NPS Service </t>
    </r>
  </si>
  <si>
    <t>2023 : 75</t>
  </si>
  <si>
    <r>
      <rPr>
        <b/>
        <sz val="10"/>
        <rFont val="Arial"/>
        <family val="2"/>
      </rPr>
      <t>Build brand power:</t>
    </r>
    <r>
      <rPr>
        <sz val="10"/>
        <rFont val="Arial"/>
        <family val="2"/>
      </rPr>
      <t xml:space="preserve"> Pricing / Positioning Cross Brand Analysis </t>
    </r>
  </si>
  <si>
    <t xml:space="preserve">Contribute towards 100m Ebit in mix / market segment performance. </t>
  </si>
  <si>
    <t>2024 Overlay Target COEs (Total = Indirect + Direct) of 0.44M</t>
  </si>
  <si>
    <r>
      <t xml:space="preserve">COEs Includes: </t>
    </r>
    <r>
      <rPr>
        <sz val="11"/>
        <color rgb="FF000000"/>
        <rFont val="Calibri"/>
        <family val="2"/>
      </rPr>
      <t>Network &amp; Central Planning</t>
    </r>
  </si>
  <si>
    <t>Achieve no less than 13% Emiratisation by end of 2024.***
If Emiratisation was equal to 13% or higher in 2023, target in 2024 is to maintain % Emiratisation.</t>
  </si>
  <si>
    <t>2024 Target : 76% favourability score for Network &amp; Planning</t>
  </si>
  <si>
    <r>
      <t xml:space="preserve">2023 favourability score:  </t>
    </r>
    <r>
      <rPr>
        <sz val="11"/>
        <color rgb="FF000000"/>
        <rFont val="Calibri"/>
        <family val="2"/>
      </rPr>
      <t xml:space="preserve">71% </t>
    </r>
  </si>
  <si>
    <t>Automotive Strategy &amp; Transformation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</si>
  <si>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 TOTAL AUTOMOTIVE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</si>
  <si>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INDIRECT COSTS SPECIFIC BUSINESS AREA</t>
    </r>
  </si>
  <si>
    <t>GDA Cost Target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</si>
  <si>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EBIT</t>
    </r>
  </si>
  <si>
    <t>2026 - Devise plan to close the gap to 5Bn in 2024, 2025, 2026</t>
  </si>
  <si>
    <t>STRATEGY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</si>
  <si>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Revenue plan</t>
    </r>
  </si>
  <si>
    <r>
      <rPr>
        <sz val="10"/>
        <color rgb="FFFF0000"/>
        <rFont val="Arial"/>
        <family val="2"/>
      </rPr>
      <t>2026 Strategy -</t>
    </r>
    <r>
      <rPr>
        <sz val="10"/>
        <rFont val="Arial"/>
        <family val="2"/>
      </rPr>
      <t xml:space="preserve"> Devise plan to close AED 10Bn gap and close AED 5Bn in 2024 (project 50 Bn)</t>
    </r>
  </si>
  <si>
    <t>STRATEGY: To be shared with Edmond &amp; Dmitrii</t>
  </si>
  <si>
    <r>
      <t xml:space="preserve">Enhance technology Capabilities: </t>
    </r>
    <r>
      <rPr>
        <sz val="9"/>
        <rFont val="Arial"/>
        <family val="2"/>
      </rPr>
      <t>Digital contribution to revenue</t>
    </r>
  </si>
  <si>
    <t>2026 Strategy - Baseline Digital contribution to revenue and define 2026 target</t>
  </si>
  <si>
    <t>STRATEGY: To be shared with Antoine &amp; Roberto</t>
  </si>
  <si>
    <r>
      <t xml:space="preserve">Improve operational excellence: </t>
    </r>
    <r>
      <rPr>
        <sz val="10"/>
        <rFont val="Arial"/>
        <family val="2"/>
      </rPr>
      <t>% Indirect Cost/Revenue</t>
    </r>
  </si>
  <si>
    <t>2026 Strategy - Devise plan to close the gap from 11.5% to 8.7% in 2026</t>
  </si>
  <si>
    <t>STRATEGY: To be shared with Antoine &amp; Dmitrii</t>
  </si>
  <si>
    <r>
      <rPr>
        <b/>
        <sz val="10"/>
        <rFont val="Arial"/>
        <family val="2"/>
      </rPr>
      <t>Develop and increase carbon neutral practices:</t>
    </r>
    <r>
      <rPr>
        <sz val="10"/>
        <rFont val="Arial"/>
        <family val="2"/>
      </rPr>
      <t xml:space="preserve"> CO2 Emissions</t>
    </r>
  </si>
  <si>
    <t>2026 Strategy - Baseline carbon neutrality practices, define 2026 target and devise plan</t>
  </si>
  <si>
    <t>STRATEGY: To be shared with Antoine</t>
  </si>
  <si>
    <r>
      <t xml:space="preserve">Build Brand Power: </t>
    </r>
    <r>
      <rPr>
        <sz val="10"/>
        <rFont val="Arial"/>
        <family val="2"/>
      </rPr>
      <t>Brand Opinion</t>
    </r>
  </si>
  <si>
    <t>2026 Strategy - Devise plan to close the gap from 50 to 55 in 2026</t>
  </si>
  <si>
    <t>STRATEGY: To be shared with Katib</t>
  </si>
  <si>
    <r>
      <rPr>
        <b/>
        <sz val="10"/>
        <rFont val="Arial"/>
        <family val="2"/>
      </rPr>
      <t xml:space="preserve">Enhance customer experience: </t>
    </r>
    <r>
      <rPr>
        <sz val="10"/>
        <rFont val="Arial"/>
        <family val="2"/>
      </rPr>
      <t>NPS</t>
    </r>
  </si>
  <si>
    <t>2026 Strategy - Devise plan to close the gap from 85 to 88 in 2026</t>
  </si>
  <si>
    <r>
      <rPr>
        <b/>
        <sz val="10"/>
        <rFont val="Arial"/>
        <family val="2"/>
      </rPr>
      <t>Increase digital sales power:</t>
    </r>
    <r>
      <rPr>
        <sz val="10"/>
        <rFont val="Arial"/>
        <family val="2"/>
      </rPr>
      <t xml:space="preserve"> Lead to Order Conversion %</t>
    </r>
  </si>
  <si>
    <t>2026 Strategy - Devise plan to close the gap from 4.2% to 6.8% in 2026</t>
  </si>
  <si>
    <r>
      <rPr>
        <b/>
        <sz val="10"/>
        <rFont val="Arial"/>
        <family val="2"/>
      </rPr>
      <t>Become benchmark talent organization: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Engagement Score</t>
    </r>
  </si>
  <si>
    <t>2026 Strategy - Devise plan to close the gap from 82% to 88% in 2026</t>
  </si>
  <si>
    <t>STRATEGY: To be shared with Amr</t>
  </si>
  <si>
    <r>
      <rPr>
        <b/>
        <sz val="10"/>
        <rFont val="Arial"/>
        <family val="2"/>
      </rPr>
      <t>Regional EV Talent Powerhouse:</t>
    </r>
    <r>
      <rPr>
        <sz val="10"/>
        <rFont val="Arial"/>
        <family val="2"/>
      </rPr>
      <t xml:space="preserve"> IMI certified EV staff</t>
    </r>
  </si>
  <si>
    <t>2026 Strategy - Devise plan to close the gap 100% in 2026</t>
  </si>
  <si>
    <r>
      <rPr>
        <b/>
        <sz val="10"/>
        <rFont val="Arial"/>
        <family val="2"/>
      </rPr>
      <t>Be a private sector leader for Emirati development:</t>
    </r>
    <r>
      <rPr>
        <sz val="10"/>
        <rFont val="Arial"/>
        <family val="2"/>
      </rPr>
      <t xml:space="preserve"> </t>
    </r>
    <r>
      <rPr>
        <sz val="10"/>
        <color rgb="FF000000"/>
        <rFont val="Arial"/>
        <family val="2"/>
      </rPr>
      <t>Emiratisation*</t>
    </r>
    <r>
      <rPr>
        <b/>
        <sz val="10"/>
        <color rgb="FF000000"/>
        <rFont val="Arial"/>
        <family val="2"/>
      </rPr>
      <t>*</t>
    </r>
  </si>
  <si>
    <t>2026 Strategy - Devise plan to close the gap from 10% to 16% in 2026</t>
  </si>
  <si>
    <t>TRANSFORMATION</t>
  </si>
  <si>
    <r>
      <rPr>
        <b/>
        <sz val="10"/>
        <rFont val="Arial"/>
        <family val="2"/>
      </rPr>
      <t xml:space="preserve">Develop an efficient &amp; agile organization: </t>
    </r>
    <r>
      <rPr>
        <sz val="10"/>
        <color rgb="FF000000"/>
        <rFont val="Arial"/>
        <family val="2"/>
      </rPr>
      <t>MPC Efficiency*</t>
    </r>
  </si>
  <si>
    <t>TRANSFORMATION: To be shared with Amr</t>
  </si>
  <si>
    <r>
      <t xml:space="preserve">Improve operational excellence: </t>
    </r>
    <r>
      <rPr>
        <sz val="10"/>
        <rFont val="Arial"/>
        <family val="2"/>
      </rPr>
      <t>Internal Audit</t>
    </r>
  </si>
  <si>
    <t>TRANSFORMATION: To be shared with Dmitrii. It should be process related recommendations</t>
  </si>
  <si>
    <t>TRANSFORMATION: To be shared with Dmitrii and Roberto</t>
  </si>
  <si>
    <r>
      <t xml:space="preserve">Improve operational excellence: </t>
    </r>
    <r>
      <rPr>
        <sz val="10"/>
        <rFont val="Arial"/>
        <family val="2"/>
      </rPr>
      <t>Change management</t>
    </r>
  </si>
  <si>
    <t>Devise and deliver strategy planning cycle and strategy communication plan</t>
  </si>
  <si>
    <t>Deliver business change impact assessment and plan for strategic projects portfolio</t>
  </si>
  <si>
    <r>
      <t xml:space="preserve">Enhance technology capabilities: </t>
    </r>
    <r>
      <rPr>
        <sz val="10"/>
        <rFont val="Arial"/>
        <family val="2"/>
      </rPr>
      <t>Customer ecosystem</t>
    </r>
  </si>
  <si>
    <t>TRANSFORMATION: To be shared with Katib</t>
  </si>
  <si>
    <t>TRANSFORMATION: To be shared with Edmond</t>
  </si>
  <si>
    <r>
      <rPr>
        <b/>
        <sz val="10"/>
        <rFont val="Arial"/>
        <family val="2"/>
      </rPr>
      <t xml:space="preserve">Develop an efficient &amp; agile organization: </t>
    </r>
    <r>
      <rPr>
        <sz val="10"/>
        <color rgb="FF000000"/>
        <rFont val="Arial"/>
        <family val="2"/>
      </rPr>
      <t>Manpower Efficiency (total MPC % of revenue)</t>
    </r>
  </si>
  <si>
    <t>2024 Overlay Target COEs (Total = Indirect + Direct) of 0.46M</t>
  </si>
  <si>
    <r>
      <rPr>
        <b/>
        <sz val="10"/>
        <rFont val="Arial"/>
        <family val="2"/>
      </rPr>
      <t>Become benchmark talent organization: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Employee Engagement</t>
    </r>
  </si>
  <si>
    <t>2024 Target : 80% favourability score for Strategy and Transformation</t>
  </si>
  <si>
    <t xml:space="preserve">2023 favourability score:  60% </t>
  </si>
  <si>
    <r>
      <rPr>
        <b/>
        <sz val="10"/>
        <rFont val="Arial"/>
        <family val="2"/>
      </rPr>
      <t>Be a private sector leader for Emirati development:</t>
    </r>
    <r>
      <rPr>
        <sz val="10"/>
        <rFont val="Arial"/>
        <family val="2"/>
      </rPr>
      <t xml:space="preserve"> </t>
    </r>
    <r>
      <rPr>
        <sz val="10"/>
        <color rgb="FF000000"/>
        <rFont val="Arial"/>
        <family val="2"/>
      </rPr>
      <t>Emiratisation</t>
    </r>
  </si>
  <si>
    <t>Automotive New Business</t>
  </si>
  <si>
    <t>AED 4,377.5m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</si>
  <si>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Indirect Expenses (excl. Provisions)
 % of Revenue - AUTOMOTIVE</t>
    </r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</si>
  <si>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Develop and start implementing two-wheeler strategy</t>
    </r>
  </si>
  <si>
    <t>Deliver strategy and start implementation to realise revenue of AED 1.4Bn as part of AED 10bn gap bridge by 2026 and incremental from 2023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</si>
  <si>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Develop M&amp;A strategy with target acquisitions</t>
    </r>
  </si>
  <si>
    <t>Deliver strategy and start implementation to realise revenue of AED 8Bn as part of AED 10bn gap bridge by 2026 and incremental from 2023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</si>
  <si>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Industrial Equipment Brands and Geographies expansion</t>
    </r>
  </si>
  <si>
    <t>Deliver strategy and start implementation to realise revenue of AED 600M as part of AED 10bn gap bridge by 2026 and incremental from 2023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</si>
  <si>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Autorola</t>
    </r>
  </si>
  <si>
    <t>Ensure Autorola delivers on 2024 budget</t>
  </si>
  <si>
    <r>
      <rPr>
        <b/>
        <sz val="10"/>
        <rFont val="Arial"/>
        <family val="2"/>
      </rPr>
      <t>Build Brand Power:</t>
    </r>
    <r>
      <rPr>
        <sz val="10"/>
        <rFont val="Arial"/>
        <family val="2"/>
      </rPr>
      <t xml:space="preserve"> Charge2Moov </t>
    </r>
  </si>
  <si>
    <t>Develop Charge2moov Phase 2 strategy and business case</t>
  </si>
  <si>
    <r>
      <rPr>
        <b/>
        <sz val="10"/>
        <rFont val="Arial"/>
        <family val="2"/>
      </rPr>
      <t xml:space="preserve">Enhance technology capabilities: </t>
    </r>
    <r>
      <rPr>
        <sz val="10"/>
        <rFont val="Arial"/>
        <family val="2"/>
      </rPr>
      <t>Digital lending platform, Telematics solutions</t>
    </r>
  </si>
  <si>
    <t>Obtain approval on strategy and business case</t>
  </si>
  <si>
    <r>
      <rPr>
        <b/>
        <sz val="10"/>
        <rFont val="Arial"/>
        <family val="2"/>
      </rPr>
      <t xml:space="preserve">Expand product, services &amp; geography: </t>
    </r>
    <r>
      <rPr>
        <sz val="10"/>
        <rFont val="Arial"/>
        <family val="2"/>
      </rPr>
      <t>Start-up investment</t>
    </r>
  </si>
  <si>
    <t>Assess in excess of 100 companies and invest in a fund or start-up</t>
  </si>
  <si>
    <r>
      <rPr>
        <b/>
        <sz val="10"/>
        <rFont val="Arial"/>
        <family val="2"/>
      </rPr>
      <t>Develop an efficient &amp; agile organization:</t>
    </r>
    <r>
      <rPr>
        <sz val="10"/>
        <rFont val="Arial"/>
        <family val="2"/>
      </rPr>
      <t xml:space="preserve"> Manpower Efficiency  (total MPC % of revenue)</t>
    </r>
  </si>
  <si>
    <t>2024 Overlay Target COEs (Total = Indirect + Direct) of 0.34M</t>
  </si>
  <si>
    <t>z</t>
  </si>
  <si>
    <t xml:space="preserve">94% favourability </t>
  </si>
  <si>
    <t xml:space="preserve">2023 favourability score:  94% </t>
  </si>
  <si>
    <t>Al-Futtaim Logistics</t>
  </si>
  <si>
    <t xml:space="preserve"> ACHIEVEMENT</t>
  </si>
  <si>
    <t xml:space="preserve"> ACHIEVEMENT %</t>
  </si>
  <si>
    <t>WEIGHTED ACHIEVEMENT</t>
  </si>
  <si>
    <r>
      <t xml:space="preserve">Consolidate strong financial foundation: </t>
    </r>
    <r>
      <rPr>
        <sz val="10"/>
        <rFont val="Arial"/>
        <family val="2"/>
      </rPr>
      <t>EBIT TOTAL AUTOMOTIVE</t>
    </r>
  </si>
  <si>
    <r>
      <t xml:space="preserve">Consolidate strong financial foundation: </t>
    </r>
    <r>
      <rPr>
        <sz val="10"/>
        <rFont val="Arial"/>
        <family val="2"/>
      </rPr>
      <t>EBIT Specific Business Area</t>
    </r>
  </si>
  <si>
    <t>(Operational) 32,625,656
(with Overlay + Duty rebate) 121,825,633</t>
  </si>
  <si>
    <r>
      <t xml:space="preserve">Consolidate strong financial foundation: </t>
    </r>
    <r>
      <rPr>
        <sz val="10"/>
        <rFont val="Arial"/>
        <family val="2"/>
      </rPr>
      <t xml:space="preserve">FCF Specific Business Area </t>
    </r>
  </si>
  <si>
    <t>Free cash flow 104,568,257</t>
  </si>
  <si>
    <t>Operational EBIT - AED 32,625,657/
Overlay - AED 2,200,000 plus AED 7,000,000</t>
  </si>
  <si>
    <r>
      <t>Consolidate strong financial foundation:</t>
    </r>
    <r>
      <rPr>
        <sz val="10"/>
        <color rgb="FF000000"/>
        <rFont val="Arial"/>
        <family val="2"/>
      </rPr>
      <t xml:space="preserve"> Indirect Expenses (excl. Provisions) % Revenue - Specific Business Area</t>
    </r>
  </si>
  <si>
    <t xml:space="preserve">AFL Consolidate </t>
  </si>
  <si>
    <r>
      <t xml:space="preserve">Improve operational excellence: </t>
    </r>
    <r>
      <rPr>
        <sz val="10"/>
        <color rgb="FF000000"/>
        <rFont val="Arial"/>
        <family val="2"/>
      </rPr>
      <t>EBIT %</t>
    </r>
  </si>
  <si>
    <t>27.7% (with Rebate)
8.0% (without Rebate)</t>
  </si>
  <si>
    <r>
      <t xml:space="preserve">Consolidate strong financial foundation: 
</t>
    </r>
    <r>
      <rPr>
        <sz val="10"/>
        <rFont val="Arial"/>
        <family val="2"/>
      </rPr>
      <t>Cash Conversion Cycle Days (CCC) -Business Specific Area</t>
    </r>
  </si>
  <si>
    <t>98 days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</si>
  <si>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Support the Automotive division to secure the best freight rate, authorities discount &amp; benefits</t>
    </r>
  </si>
  <si>
    <t>Annualised benefit of AED 3 Mn</t>
  </si>
  <si>
    <t>Eg. Terminal handling charges, etc</t>
  </si>
  <si>
    <r>
      <t xml:space="preserve">Enhance technology capabilities: </t>
    </r>
    <r>
      <rPr>
        <sz val="10"/>
        <rFont val="Arial"/>
        <family val="2"/>
      </rPr>
      <t>Support on the Technology initiatives (RISE), etc</t>
    </r>
  </si>
  <si>
    <t>Deliver the new Yard Logistics system on time with EIT team</t>
  </si>
  <si>
    <t>Date of implementation date need to be agreed Group EIT team</t>
  </si>
  <si>
    <r>
      <t xml:space="preserve">Consolidate strong financial foundation: </t>
    </r>
    <r>
      <rPr>
        <sz val="10"/>
        <color rgb="FF000000"/>
        <rFont val="Arial"/>
        <family val="2"/>
      </rPr>
      <t xml:space="preserve">Logistics Project - JAFZA facility, RSA, </t>
    </r>
  </si>
  <si>
    <t>Achieve 3 projects out of 6 projects</t>
  </si>
  <si>
    <r>
      <rPr>
        <b/>
        <sz val="10"/>
        <rFont val="Arial"/>
        <family val="2"/>
      </rPr>
      <t xml:space="preserve">Enhanced Customer Experience: </t>
    </r>
    <r>
      <rPr>
        <sz val="10"/>
        <rFont val="Arial"/>
        <family val="2"/>
      </rPr>
      <t>Net Promoter Score &gt;72</t>
    </r>
  </si>
  <si>
    <t>NPS  &gt;/=  73  &amp; CSAT score &gt;= 4.45</t>
  </si>
  <si>
    <r>
      <t xml:space="preserve">Consolidate strong financial foundation: </t>
    </r>
    <r>
      <rPr>
        <sz val="10"/>
        <color rgb="FF000000"/>
        <rFont val="Arial"/>
        <family val="2"/>
      </rPr>
      <t>Prepare a project plan with action points and dates to increase the Profitability of AFL</t>
    </r>
  </si>
  <si>
    <t>EBIT - AED 40 Mn</t>
  </si>
  <si>
    <t>Provide the business and action before May 2024</t>
  </si>
  <si>
    <r>
      <rPr>
        <b/>
        <sz val="10"/>
        <rFont val="Arial"/>
        <family val="2"/>
      </rPr>
      <t xml:space="preserve">Expand product, services &amp; geography: </t>
    </r>
    <r>
      <rPr>
        <sz val="10"/>
        <rFont val="Arial"/>
        <family val="2"/>
      </rPr>
      <t>Growth in Third Party Revenue by 10% (over 2023)</t>
    </r>
  </si>
  <si>
    <t>Year 2023 - AED 70.19 Mn
Year 2024 is AED 78 Mn and above</t>
  </si>
  <si>
    <r>
      <t xml:space="preserve">Develop an efficient &amp; agile organization: </t>
    </r>
    <r>
      <rPr>
        <sz val="10"/>
        <color rgb="FF000000"/>
        <rFont val="Arial"/>
        <family val="2"/>
      </rPr>
      <t>Manpower Efficiency (total MPC % of revenue)</t>
    </r>
  </si>
  <si>
    <t>2024 Overlay Total MPC % Revenue (Total = Indirect + Direct) of 17.57%</t>
  </si>
  <si>
    <t>Entities include: AF Logistics (UAE &amp; KSA)
MPC % of Revenue (B2024): 18.12%</t>
  </si>
  <si>
    <r>
      <t>Become benchmark talent organization:</t>
    </r>
    <r>
      <rPr>
        <sz val="10"/>
        <color rgb="FF000000"/>
        <rFont val="Arial"/>
        <family val="2"/>
      </rPr>
      <t xml:space="preserve"> Employee Engagement</t>
    </r>
  </si>
  <si>
    <t>Achieve favourability score of 93%</t>
  </si>
  <si>
    <t>2023 Score of 93%</t>
  </si>
  <si>
    <r>
      <t xml:space="preserve">Be a private sector leader for Emirati development: </t>
    </r>
    <r>
      <rPr>
        <sz val="10"/>
        <color rgb="FF000000"/>
        <rFont val="Arial"/>
        <family val="2"/>
      </rPr>
      <t>Emiratisation</t>
    </r>
  </si>
  <si>
    <t>***Total headcount of population to be Emiratised to be confirmed.</t>
  </si>
  <si>
    <t>YES</t>
  </si>
  <si>
    <t>Technology</t>
  </si>
  <si>
    <t>Consolidate strong financial foundation: Indirect Expenses (excl. Provisions) % of Revenue - AUTOMOTIVE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</si>
  <si>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 Indirect costs specific business area</t>
    </r>
  </si>
  <si>
    <t>IT Operational cost: 5% below approved budget of AED 114,459 Mn.</t>
  </si>
  <si>
    <t>5% reduction (stretched target proposed by Dmitrii)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</si>
  <si>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Launching of BYD in KSA</t>
    </r>
  </si>
  <si>
    <t>Deliver the necessary IT Infrastructure, Back-end system setup, Website, and Showroom sales on time and budget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</si>
  <si>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Lease-to-own launch</t>
    </r>
  </si>
  <si>
    <t>Enable Lease-to-Own capability for all automotive brands</t>
  </si>
  <si>
    <r>
      <t xml:space="preserve">Increase digital sales power: </t>
    </r>
    <r>
      <rPr>
        <sz val="10"/>
        <rFont val="Arial"/>
        <family val="2"/>
      </rPr>
      <t>Deliver rental digitization and develop digital roadmap for fleet management (rental, leasing backoffice)</t>
    </r>
  </si>
  <si>
    <t>Implement the Rental Digitalization project on time and budget</t>
  </si>
  <si>
    <r>
      <t xml:space="preserve">Consolidate strong financial foundation: </t>
    </r>
    <r>
      <rPr>
        <sz val="10"/>
        <rFont val="Arial"/>
        <family val="2"/>
      </rPr>
      <t>Roadside Assistance</t>
    </r>
  </si>
  <si>
    <t>Implement the Roadside Assistance project on time and budget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</si>
  <si>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Implement S/4 HANA at Al-Ghazi Tractors</t>
    </r>
  </si>
  <si>
    <t>Finalize the project implementation as per revised timeline defined by the project Steering Committee</t>
  </si>
  <si>
    <t>Deliver C4C &amp; Emarsys as per revised roll-out timeline and budget</t>
  </si>
  <si>
    <r>
      <rPr>
        <b/>
        <sz val="10"/>
        <rFont val="Arial"/>
        <family val="2"/>
      </rPr>
      <t xml:space="preserve">Enhance technology capabilities: </t>
    </r>
    <r>
      <rPr>
        <sz val="10"/>
        <rFont val="Arial"/>
        <family val="2"/>
      </rPr>
      <t>RISE Project (Yard Logistics)</t>
    </r>
  </si>
  <si>
    <t>Deliver the new Yard Logistics system based on S/4 HANA on time and budget</t>
  </si>
  <si>
    <r>
      <rPr>
        <b/>
        <sz val="10"/>
        <rFont val="Arial"/>
        <family val="2"/>
      </rPr>
      <t xml:space="preserve">Enhance technology capabilities: </t>
    </r>
    <r>
      <rPr>
        <sz val="10"/>
        <rFont val="Arial"/>
        <family val="2"/>
      </rPr>
      <t>After Sales enhancements</t>
    </r>
  </si>
  <si>
    <t>Deliver the Body and Paint Digitalization project on time and budget</t>
  </si>
  <si>
    <r>
      <rPr>
        <b/>
        <sz val="10"/>
        <rFont val="Arial"/>
        <family val="2"/>
      </rPr>
      <t>Become benchmark talent organization:</t>
    </r>
    <r>
      <rPr>
        <sz val="10"/>
        <color rgb="FF000000"/>
        <rFont val="Arial"/>
        <family val="2"/>
      </rPr>
      <t xml:space="preserve"> Business Unit Engagement</t>
    </r>
  </si>
  <si>
    <t>Achieve a 5-point improvement vs 2023 favourability score of 54%</t>
  </si>
  <si>
    <t xml:space="preserve">Maintain % Emiratisation.
</t>
  </si>
  <si>
    <r>
      <rPr>
        <b/>
        <sz val="10"/>
        <rFont val="Arial"/>
        <family val="2"/>
      </rPr>
      <t xml:space="preserve">Become benchmark talent organization: </t>
    </r>
    <r>
      <rPr>
        <sz val="10"/>
        <rFont val="Arial"/>
        <family val="2"/>
      </rPr>
      <t xml:space="preserve">100% of  team members have meaningful IDPs </t>
    </r>
  </si>
  <si>
    <t xml:space="preserve"> 100% of team members have a meaningful IDPs on success factors and development plans will be continuously tracked with proper reviews and coaching  and feedback sessions</t>
  </si>
  <si>
    <r>
      <rPr>
        <b/>
        <sz val="10"/>
        <rFont val="Arial"/>
        <family val="2"/>
      </rPr>
      <t xml:space="preserve">Become benchmark talent organization: </t>
    </r>
    <r>
      <rPr>
        <sz val="10"/>
        <rFont val="Arial"/>
        <family val="2"/>
      </rPr>
      <t>Continuous Improvement Initiative</t>
    </r>
  </si>
  <si>
    <t xml:space="preserve"> Act as a champion in promoting and identifying CI initiatives across GTDP within and beyond your area of work. Contribute towards the team's overall Continuous Improvement KPI (20 Impact points) for 2024.  </t>
  </si>
  <si>
    <t>AMW Ltd Sri Lanka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</si>
  <si>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AMW Ltd</t>
    </r>
  </si>
  <si>
    <t>Achieve EBIT = (AED2.9m)</t>
  </si>
  <si>
    <t>Budget Overlay = Breakeven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</si>
  <si>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FCF - AMW Ltd</t>
    </r>
  </si>
  <si>
    <t>FCF = (AED20.3m)</t>
  </si>
  <si>
    <r>
      <t xml:space="preserve">% of Revenue = </t>
    </r>
    <r>
      <rPr>
        <sz val="10"/>
        <color rgb="FFFF0000"/>
        <rFont val="Arial"/>
        <family val="2"/>
      </rPr>
      <t>31.5%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</si>
  <si>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Adj. Av. ROCE - AMW Ltd</t>
    </r>
  </si>
  <si>
    <t>Adj. Av. ROCE = (2.2%)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</si>
  <si>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EBIT % AMW Ltd</t>
    </r>
  </si>
  <si>
    <t>Achieve EBIT = (3.0%)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</si>
  <si>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CCC - AMW Ltd</t>
    </r>
  </si>
  <si>
    <r>
      <t>CCC</t>
    </r>
    <r>
      <rPr>
        <sz val="10"/>
        <color rgb="FFFF0000"/>
        <rFont val="Arial"/>
        <family val="2"/>
      </rPr>
      <t xml:space="preserve"> = 174 days</t>
    </r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</si>
  <si>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 me - AMW Ltd</t>
    </r>
  </si>
  <si>
    <t>Develop and deliver clear transformation program of work: monthly steering committee meetings with Automotive President.  No unforeseen risks / issues to arise.</t>
  </si>
  <si>
    <t>Transformation program initiated in January '24.  Completing 'current state' review after which key action plans and timelines to be developed.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</si>
  <si>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 me - Aftersales &amp; Parts Retail / Achieve 10% Vin visits growth to 60K, through National Campaigns, Customer Data Cleansing, Authorized Dealer Campaigns, Optimize customer communication cycles</t>
    </r>
  </si>
  <si>
    <t>Achieve 10% Vin visits growth to 60K, Rev = AED 1.55 m growth, GM = AED 0.756m, EBIT = 0.601m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</si>
  <si>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 me - Stock Inventory / Reduction from 14 months to 8 months by Q4 '2024. Optimize newly implemented Syncron 's parts planning &amp; ordering modules, formal SSOP Parts Ordering process for ALL Divisions to be implemented and applied, market related pricing strategy in place, Formal liquidation process followed to write-off qualifying parts.</t>
    </r>
  </si>
  <si>
    <t>Reduce Opening stock months of 14 to 8 months of stock by End Q4 '2024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</si>
  <si>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 me - Parts B2B sales / Double Yamaha 's spare parts revenue as well as achieve B2B Parts sales objectives for passenger cars across all Brands</t>
    </r>
  </si>
  <si>
    <t>Yamaha's Parts Sales Targets increase by Rev = AED 2.1m growth, GM = AED 0.693m, EBIT = 0.273m / Parts B2B by Rev = AED 1.53m growth, GM = AED 0.505m, EBIT = 0.199m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</si>
  <si>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Transformation Program me - BP Castrol Lubricants sales volume growth by 40%, through expansion of Marine and Industrial segments as well as additional Distributors / Retailer appointments in Automotive sector.</t>
    </r>
  </si>
  <si>
    <t>Grow Distribution network by 2 more distributors, Achieve growth of 500k liters, Rev = AED 8.6m growth, GM = AED 1.291m, EBIT = 0.56m</t>
  </si>
  <si>
    <r>
      <rPr>
        <b/>
        <sz val="10"/>
        <rFont val="Arial"/>
        <family val="2"/>
      </rPr>
      <t>Improve operational excellence (BP Castrol Lubricants - AMW):</t>
    </r>
    <r>
      <rPr>
        <sz val="10"/>
        <rFont val="Arial"/>
        <family val="2"/>
      </rPr>
      <t xml:space="preserve"> Sales of lubricants through Distributors, Industrial and Marine segments </t>
    </r>
  </si>
  <si>
    <t>Achieve AED 12m gross margin in aftersales business: Automotive (AED 10m); Industrial (AED 1.0m); Marine (AED1.0m)</t>
  </si>
  <si>
    <r>
      <rPr>
        <b/>
        <sz val="10"/>
        <rFont val="Arial"/>
        <family val="2"/>
      </rPr>
      <t xml:space="preserve">Improve operational excellence (CNH Agri New Holland): </t>
    </r>
    <r>
      <rPr>
        <sz val="10"/>
        <rFont val="Arial"/>
        <family val="2"/>
      </rPr>
      <t>Sales of aged stock units as well as aged rotavators by end of Q4 '2024, pursuing all opportunities within Sri Lankan market as well as AFG / CMC Sister Companies in East Africa</t>
    </r>
  </si>
  <si>
    <t>Achieve 95 sales of current aged Tractor stock units as well as 123 sales of current aged rotavators by end of Q4 '2024.</t>
  </si>
  <si>
    <r>
      <rPr>
        <b/>
        <sz val="10"/>
        <rFont val="Arial"/>
        <family val="2"/>
      </rPr>
      <t>Develop an efficient &amp; agile organization:</t>
    </r>
    <r>
      <rPr>
        <sz val="10"/>
        <rFont val="Arial"/>
        <family val="2"/>
      </rPr>
      <t xml:space="preserve"> </t>
    </r>
    <r>
      <rPr>
        <sz val="10"/>
        <color rgb="FF000000"/>
        <rFont val="Arial"/>
        <family val="2"/>
      </rPr>
      <t>MPC Efficiency</t>
    </r>
    <r>
      <rPr>
        <sz val="10"/>
        <rFont val="Arial"/>
        <family val="2"/>
      </rPr>
      <t xml:space="preserve">  (total MPC % of revenue)</t>
    </r>
  </si>
  <si>
    <t>2024 Overlay Total MPC % Revenue (Total = Indirect + Direct) of 14.56%</t>
  </si>
  <si>
    <r>
      <rPr>
        <b/>
        <sz val="10"/>
        <rFont val="Arial"/>
        <family val="2"/>
      </rPr>
      <t>Become benchmark talent organization:</t>
    </r>
    <r>
      <rPr>
        <sz val="10"/>
        <rFont val="Arial"/>
        <family val="2"/>
      </rPr>
      <t xml:space="preserve"> </t>
    </r>
    <r>
      <rPr>
        <sz val="10"/>
        <color rgb="FF000000"/>
        <rFont val="Arial"/>
        <family val="2"/>
      </rPr>
      <t>Employee Engagement</t>
    </r>
  </si>
  <si>
    <t>2024 Target: 66% favourability score for AMW Ltd</t>
  </si>
  <si>
    <t xml:space="preserve">2023 favourability score:  61% </t>
  </si>
  <si>
    <r>
      <rPr>
        <b/>
        <sz val="10"/>
        <rFont val="Arial"/>
        <family val="2"/>
      </rPr>
      <t xml:space="preserve">Become benchmark talent organization: </t>
    </r>
    <r>
      <rPr>
        <sz val="10"/>
        <rFont val="Arial"/>
        <family val="2"/>
      </rPr>
      <t>Identification, succession planning, retention of critical roles</t>
    </r>
  </si>
  <si>
    <t>2024 Target: Identification of critical roles as per Automotive guidelines
Create Succession planning for MD-1 and identified critical roles
Min 90% onboarding and retention of identified critical roles</t>
  </si>
  <si>
    <t>AGTL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</si>
  <si>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</t>
    </r>
  </si>
  <si>
    <t>AED 78.1 M (Budget) + Overlay of AED 0.6 M; Total AED 78.7 M</t>
  </si>
  <si>
    <t>Overall in MPC of AED 0.6 M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</si>
  <si>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FCF </t>
    </r>
  </si>
  <si>
    <t>AED 42.5 M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</si>
  <si>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Indirect Expenses (excl. Provisions) % of Revenue </t>
    </r>
  </si>
  <si>
    <t>Budget: 5.5%; +Overlay: 5.4%</t>
  </si>
  <si>
    <r>
      <rPr>
        <b/>
        <sz val="10"/>
        <rFont val="Arial"/>
        <family val="2"/>
      </rPr>
      <t>Improve operational excellence</t>
    </r>
    <r>
      <rPr>
        <sz val="10"/>
        <rFont val="Arial"/>
        <family val="2"/>
      </rPr>
      <t xml:space="preserve">: EBIT % </t>
    </r>
  </si>
  <si>
    <t>Budget: 12.37%; +Overlay: 12.46%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</si>
  <si>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Adj. Av. ROCE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</si>
  <si>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CCC </t>
    </r>
  </si>
  <si>
    <t>31 Days</t>
  </si>
  <si>
    <r>
      <t xml:space="preserve">Improve operational excellence: </t>
    </r>
    <r>
      <rPr>
        <sz val="10"/>
        <rFont val="Arial"/>
        <family val="2"/>
      </rPr>
      <t>Quality:  Improve Straight Pass Ratios</t>
    </r>
  </si>
  <si>
    <t>Engine: &gt;87%
 Transmission: &gt;91%
 HLC: &gt;95%
 Roller Test Bench: &gt;70%</t>
  </si>
  <si>
    <t>Against 2023 achievement of:
Engine: 85%
Transmission: 90%
HLC: 95%
Roller: 60%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</si>
  <si>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Quality: Reduce Parts Rejection Rate</t>
    </r>
  </si>
  <si>
    <t>Hardware: 5%
 Others: 2%</t>
  </si>
  <si>
    <t>Against 2023 achievement of:
Hardware: 12.5%
Others: 2.4%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</si>
  <si>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Implement Cost Indexing and Volume Consolidation</t>
    </r>
  </si>
  <si>
    <t>Cost Indexing:  15 Cost Sheets
 Volume Consolidation: 10 Suppliers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</si>
  <si>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Vendor performance rating for all Vendors</t>
    </r>
  </si>
  <si>
    <t>Only just initiated, need to complete for all vendors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</si>
  <si>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Transformation business case approval by Q3 2024</t>
    </r>
  </si>
  <si>
    <t>Successful sign-off of transformation business case</t>
  </si>
  <si>
    <r>
      <rPr>
        <b/>
        <sz val="10"/>
        <rFont val="Arial"/>
        <family val="2"/>
      </rPr>
      <t>Expand product, services &amp; geography:</t>
    </r>
    <r>
      <rPr>
        <sz val="10"/>
        <rFont val="Arial"/>
        <family val="2"/>
      </rPr>
      <t xml:space="preserve"> Successful Launch of 85 HP in Q3-24</t>
    </r>
  </si>
  <si>
    <t>Commercial Sales to start in Jul-24 - Target sales of 2,545 units in 2024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</si>
  <si>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 Achieve Full Year 55HP market share</t>
    </r>
  </si>
  <si>
    <t xml:space="preserve">55HP: 5,808 units; MS: 51.1% 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</si>
  <si>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 Achieve Full Year 65HP market share</t>
    </r>
  </si>
  <si>
    <t>65HP: 6,785 units; MS: 59.7%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</si>
  <si>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 Achieve Full Year 75HP market share</t>
    </r>
  </si>
  <si>
    <t>75HP: 3,433 units; MS: 87.3%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</si>
  <si>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 Reduce Warranty Claim Ratio</t>
    </r>
  </si>
  <si>
    <t>Target: &lt;20%</t>
  </si>
  <si>
    <r>
      <rPr>
        <b/>
        <sz val="10"/>
        <color theme="1"/>
        <rFont val="Arial"/>
        <family val="2"/>
      </rPr>
      <t xml:space="preserve">Develop an efficient &amp; agile organization: </t>
    </r>
    <r>
      <rPr>
        <sz val="10"/>
        <color theme="1"/>
        <rFont val="Arial"/>
        <family val="2"/>
      </rPr>
      <t>MPC Efficiency (total MPC % of revenue)</t>
    </r>
  </si>
  <si>
    <t>2024 Overlay Total MPC % Revenue (Total = Indirect + Direct) of 2.98%</t>
  </si>
  <si>
    <r>
      <rPr>
        <b/>
        <sz val="10"/>
        <color theme="1"/>
        <rFont val="Arial"/>
        <family val="2"/>
      </rPr>
      <t>Become benchmark talent organization:</t>
    </r>
    <r>
      <rPr>
        <sz val="10"/>
        <color theme="1"/>
        <rFont val="Arial"/>
        <family val="2"/>
      </rPr>
      <t xml:space="preserve"> Employee Engagement</t>
    </r>
  </si>
  <si>
    <t>Achieve a 5-point improvement vs 2023 favourability score of 79%</t>
  </si>
  <si>
    <t xml:space="preserve">2023 favourability score:  66% </t>
  </si>
  <si>
    <r>
      <t xml:space="preserve">Become benchmark talent organization: </t>
    </r>
    <r>
      <rPr>
        <sz val="10"/>
        <color theme="1"/>
        <rFont val="Arial"/>
        <family val="2"/>
      </rPr>
      <t>Identification, succession planning and 90% retention of critical roles</t>
    </r>
  </si>
  <si>
    <t>CMC Group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</si>
  <si>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CMC Group</t>
    </r>
  </si>
  <si>
    <t>Restrict EBIT loss - AED 17.8m and Overlay EBIT loss - AED 12.5m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</si>
  <si>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FCF - CMC Group</t>
    </r>
  </si>
  <si>
    <t>Budget FCF: AED 35.1m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</si>
  <si>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Indirect Expenses (excl. Provisions) % of Revenue - CMC Group</t>
    </r>
  </si>
  <si>
    <t>Budget: 23.1%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</si>
  <si>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Adj. Av. ROCE - CMC Group</t>
    </r>
  </si>
  <si>
    <t>Adj. Av. ROCE: -19.8%</t>
  </si>
  <si>
    <r>
      <rPr>
        <b/>
        <sz val="10"/>
        <rFont val="Arial"/>
        <family val="2"/>
      </rPr>
      <t>Improve operational excellence</t>
    </r>
    <r>
      <rPr>
        <sz val="10"/>
        <rFont val="Arial"/>
        <family val="2"/>
      </rPr>
      <t>: EBIT % CMC Group</t>
    </r>
  </si>
  <si>
    <t>Budget loss: -10.0%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</si>
  <si>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CCC - CMC Group</t>
    </r>
  </si>
  <si>
    <t>CCC: 45 days</t>
  </si>
  <si>
    <r>
      <rPr>
        <b/>
        <sz val="10"/>
        <rFont val="Arial"/>
        <family val="2"/>
      </rPr>
      <t xml:space="preserve">Improve operational excellence (Parts): </t>
    </r>
    <r>
      <rPr>
        <sz val="10"/>
        <rFont val="Arial"/>
        <family val="2"/>
      </rPr>
      <t>Optimize stock holdings and streamline ordering process</t>
    </r>
  </si>
  <si>
    <t>Disposal of &gt; 3 year aged parts with CNHi support, Implement Syncron system for parts ordering, overall Agri parts &lt;1 year- 90%</t>
  </si>
  <si>
    <r>
      <t xml:space="preserve">Improve operational excellence (Units): </t>
    </r>
    <r>
      <rPr>
        <sz val="10"/>
        <rFont val="Arial"/>
        <family val="2"/>
      </rPr>
      <t>Units ordering and pricing</t>
    </r>
  </si>
  <si>
    <t>Develop and implement Units ordering and pricing process in alignment with AFG requirements</t>
  </si>
  <si>
    <t>Open 5 new satellite container locations: Kenya (2); Tanzania (2) and Uganda (1); close Meru branch in Kenya</t>
  </si>
  <si>
    <r>
      <rPr>
        <b/>
        <sz val="10"/>
        <rFont val="Arial"/>
        <family val="2"/>
      </rPr>
      <t>Improve operational excellence (Sales - CMC):</t>
    </r>
    <r>
      <rPr>
        <sz val="10"/>
        <rFont val="Arial"/>
        <family val="2"/>
      </rPr>
      <t xml:space="preserve"> Uganda Assembly plant</t>
    </r>
  </si>
  <si>
    <t>Operationalize Uganda assembly plan in Q1-24</t>
  </si>
  <si>
    <r>
      <t xml:space="preserve">Develop plan to lease out properties in Kenya to generate AED 5.6m rental income </t>
    </r>
    <r>
      <rPr>
        <b/>
        <sz val="10"/>
        <color theme="1"/>
        <rFont val="Arial"/>
        <family val="2"/>
      </rPr>
      <t>from 3rd parties</t>
    </r>
  </si>
  <si>
    <r>
      <rPr>
        <b/>
        <sz val="10"/>
        <rFont val="Arial"/>
        <family val="2"/>
      </rPr>
      <t>Develop an efficient &amp; agile organization:</t>
    </r>
    <r>
      <rPr>
        <sz val="10"/>
        <rFont val="Arial"/>
        <family val="2"/>
      </rPr>
      <t xml:space="preserve"> </t>
    </r>
    <r>
      <rPr>
        <sz val="11"/>
        <color rgb="FF000000"/>
        <rFont val="Calibri"/>
        <family val="2"/>
      </rPr>
      <t>Manpower efficiency</t>
    </r>
    <r>
      <rPr>
        <sz val="10"/>
        <rFont val="Arial"/>
        <family val="2"/>
      </rPr>
      <t xml:space="preserve"> (total MPC % of revenue)</t>
    </r>
  </si>
  <si>
    <t>2024 Overlay Total MPC % Revenue (Total = Indirect + Direct) of 10.16%</t>
  </si>
  <si>
    <r>
      <rPr>
        <b/>
        <sz val="10"/>
        <rFont val="Arial"/>
        <family val="2"/>
      </rPr>
      <t>Become benchmark talent organization:</t>
    </r>
    <r>
      <rPr>
        <sz val="11"/>
        <color rgb="FF000000"/>
        <rFont val="Calibri"/>
        <family val="2"/>
      </rPr>
      <t xml:space="preserve"> Employee Engagement</t>
    </r>
  </si>
  <si>
    <t>2024 Target: 73% favourability score for CMC Group</t>
  </si>
  <si>
    <r>
      <t>2023 favourability score:  68</t>
    </r>
    <r>
      <rPr>
        <sz val="11"/>
        <color rgb="FF000000"/>
        <rFont val="Calibri"/>
        <family val="2"/>
      </rPr>
      <t xml:space="preserve">% </t>
    </r>
  </si>
  <si>
    <r>
      <rPr>
        <b/>
        <sz val="10"/>
        <rFont val="Arial"/>
        <family val="2"/>
      </rPr>
      <t>Become benchmark talent organization:</t>
    </r>
    <r>
      <rPr>
        <sz val="10"/>
        <rFont val="Arial"/>
        <family val="2"/>
      </rPr>
      <t xml:space="preserve"> Identification, succession planning and 90% retention of critical roles</t>
    </r>
  </si>
  <si>
    <t>Toyota Lexus UAE</t>
  </si>
  <si>
    <t>OVERLAY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</si>
  <si>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 - Total AFA</t>
    </r>
  </si>
  <si>
    <t>4650.2M AED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</si>
  <si>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 - Total AFM</t>
    </r>
  </si>
  <si>
    <t>TY : AED 2.40bn / LX : AED 0.96bn / TY/LX : AED 3.36bn</t>
  </si>
  <si>
    <t>-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</si>
  <si>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Used Cars (AFM)</t>
    </r>
  </si>
  <si>
    <t>TY : AED 42.56mn / LX : AED 12.57mn / TY/LX : AED 55.13mn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</si>
  <si>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AFM Aftersales</t>
    </r>
  </si>
  <si>
    <t>TY : AED 121.88mn / LX : AED 61.22mn / TY/LX : AED 183.10mn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</si>
  <si>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EBIT% - AFM</t>
    </r>
  </si>
  <si>
    <t>AFM 24%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</si>
  <si>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FCF - Excl. Financial Services, Rental &amp; Leasing</t>
    </r>
  </si>
  <si>
    <t>AED 3.07bn</t>
  </si>
  <si>
    <t>95 Days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</si>
  <si>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Indirect Expenses (excl. Provisions) % of Revenue</t>
    </r>
  </si>
  <si>
    <t>TY : 6.29% / LX : 6.29% / TY/LX : 6.29%</t>
  </si>
  <si>
    <r>
      <t xml:space="preserve">Improve operational excellence (sales):  </t>
    </r>
    <r>
      <rPr>
        <sz val="10"/>
        <rFont val="Arial"/>
        <family val="2"/>
      </rPr>
      <t>Leads Unattended %</t>
    </r>
  </si>
  <si>
    <t>85% of leads passed to branch to be attended within SLA (being defined)</t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</si>
  <si>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 Leads Turnaround Time</t>
    </r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</si>
  <si>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Stock Ageing; ideal stock depth 1.8 on new</t>
    </r>
  </si>
  <si>
    <t xml:space="preserve">New Car &lt;5% total stock &gt;180 days </t>
  </si>
  <si>
    <t>&lt;15% CPOV</t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</si>
  <si>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 Finance Penetration % (brokerage | leasing | other)</t>
    </r>
  </si>
  <si>
    <t>Toyota 61%, Lexus 60.8%</t>
  </si>
  <si>
    <r>
      <rPr>
        <b/>
        <sz val="10"/>
        <rFont val="Arial"/>
        <family val="2"/>
      </rPr>
      <t xml:space="preserve">Improve operational excellence (used cars): </t>
    </r>
    <r>
      <rPr>
        <sz val="10"/>
        <rFont val="Arial"/>
        <family val="2"/>
      </rPr>
      <t xml:space="preserve"> Cash Buy / Trade in %</t>
    </r>
  </si>
  <si>
    <t>Toyota 10%, Lexus 11%</t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</si>
  <si>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 Service Retention</t>
    </r>
  </si>
  <si>
    <t>Toyota 44.8%, Lexus 55.9%</t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</si>
  <si>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 Accessories (AED) per New Unit</t>
    </r>
  </si>
  <si>
    <t>Hard Accessories TY 1027, LX 1688 Total TY 1027+760, LX 1688+1140</t>
  </si>
  <si>
    <r>
      <rPr>
        <b/>
        <sz val="10"/>
        <rFont val="Arial"/>
        <family val="2"/>
      </rPr>
      <t>Improve operational excellence (Sales &amp; Aftersales):</t>
    </r>
    <r>
      <rPr>
        <sz val="10"/>
        <rFont val="Arial"/>
        <family val="2"/>
      </rPr>
      <t xml:space="preserve"> Branch standards &amp; process improvement</t>
    </r>
  </si>
  <si>
    <t>+5% assessment scores vs baseline (in &gt;80% of sites)</t>
  </si>
  <si>
    <t>Sales &amp; Aftersales. Baselining to happen April 2024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</si>
  <si>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Audit actions</t>
    </r>
  </si>
  <si>
    <t>No high risk audit recommendations &gt;90 days</t>
  </si>
  <si>
    <t>As per GIAD. Items tagged to AFM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</si>
  <si>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New car volume (subject to ideal stock depth of the brand throughout the year) / stock coverage</t>
    </r>
  </si>
  <si>
    <t>TY : 79,507 / LX : 9,551 / TY/LX : 89,058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</si>
  <si>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Used car volume</t>
    </r>
  </si>
  <si>
    <t>TY : 4,000 / LX : 593 / TY/LX : 4,593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</si>
  <si>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 NPS (new)</t>
    </r>
  </si>
  <si>
    <t>Sales: 88% TY/ 94% LX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</si>
  <si>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 NPS (aftersales)</t>
    </r>
  </si>
  <si>
    <t>Aftersales: 69% TY/ 73% LX</t>
  </si>
  <si>
    <t>AFM PC: 2.013% (includes overlay)</t>
  </si>
  <si>
    <r>
      <rPr>
        <b/>
        <sz val="10"/>
        <rFont val="Arial"/>
        <family val="2"/>
      </rPr>
      <t xml:space="preserve">Be a private sector leader for Emirati development: </t>
    </r>
    <r>
      <rPr>
        <sz val="10"/>
        <rFont val="Arial"/>
        <family val="2"/>
      </rPr>
      <t xml:space="preserve"> Emiratisation</t>
    </r>
  </si>
  <si>
    <r>
      <rPr>
        <b/>
        <sz val="10"/>
        <rFont val="Arial"/>
        <family val="2"/>
      </rPr>
      <t>Become benchmark talent organization:</t>
    </r>
    <r>
      <rPr>
        <sz val="10"/>
        <rFont val="Arial"/>
        <family val="2"/>
      </rPr>
      <t xml:space="preserve">  Employee Engagement</t>
    </r>
  </si>
  <si>
    <t>88% favourability score for AFM</t>
  </si>
  <si>
    <t>Regional Dealer Brands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</si>
  <si>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Total TE (UAE, Qatar, Oman, Egypt)</t>
    </r>
  </si>
  <si>
    <t>Total region: 197.860 M AED (Honda UAE: 48.1 | CJDR: 59.4 | Volvo 38.7 | Omasco: 6.0 | Domasco: 39.2 | HEG: 6.4)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</si>
  <si>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Used Cars TE (UAE, Qatar, Oman, Egypt)</t>
    </r>
  </si>
  <si>
    <t>Total region: 43.668 M AED (Honda UAE: 7.251 | CJDR: 23.851 | Volvo 10.55 | Omasco: 0.554 | Domasco: 1.371 | HEG: 0.088)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</si>
  <si>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EBIT - Aftersales Net Profit EBIT of Tier 1 (Excl B2B Parts and PDI) (All Brand)</t>
    </r>
  </si>
  <si>
    <t>Total region: 62.009 M AED (Honda UAE: 22.587 | CJDR: 3.779 | Volvo 14.415 | Omasco: 5.868 | Domasco: 11.535 | HEG: 3.823)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</si>
  <si>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% - TE</t>
    </r>
  </si>
  <si>
    <t>Total Region: 5.4% (Honda: 4.9%, CJDR: 4.3%, Volvo: 9.2%,Omasco:2.3 %, Domasco: 7.3% HEG: 6.8%)</t>
  </si>
  <si>
    <t>Total region: 81.549 M AED (Honda UAE: 63.534 | TE-CJDR+Volvo: 24.074 | Omasco: -0.976 | Domasco: 10.902 | HEG: 3.867)</t>
  </si>
  <si>
    <t>Total Region: 16.5% (Honda UAE: 23.3% | TE-CJDR+Volvo: 18.1 | Omasco: 4.7% | Domasco: 16.7% | HEG: 7.5%)</t>
  </si>
  <si>
    <t>Total Region: 100.6 (Honda UAE: 45.1 | TE: 102.7 | HEG: 138.8 | OMASCO 56.7 | DOSCO 162.8)</t>
  </si>
  <si>
    <t>Total Region: 14.5% (Honda: 18% | CJDR: 12.7% | Volvo: 11.8% | HEG 11.1% | Omasco: 15.2% | Domasco 15.2%)</t>
  </si>
  <si>
    <r>
      <t xml:space="preserve">Improve operational excellence (sales): </t>
    </r>
    <r>
      <rPr>
        <sz val="10"/>
        <rFont val="Arial"/>
        <family val="2"/>
      </rPr>
      <t xml:space="preserve"> Leads Unattended %</t>
    </r>
  </si>
  <si>
    <r>
      <rPr>
        <b/>
        <sz val="10"/>
        <rFont val="Arial"/>
        <family val="2"/>
      </rPr>
      <t xml:space="preserve">Improve operational excellence (sales): </t>
    </r>
    <r>
      <rPr>
        <sz val="10"/>
        <rFont val="Arial"/>
        <family val="2"/>
      </rPr>
      <t xml:space="preserve"> Leads Turnaround Time</t>
    </r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</si>
  <si>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Stock Ageing; ideal stock depth 2.0 for CJDR &amp; Volvo; 2.5 for Honda</t>
    </r>
  </si>
  <si>
    <r>
      <rPr>
        <b/>
        <sz val="10"/>
        <rFont val="Arial"/>
        <family val="2"/>
      </rPr>
      <t xml:space="preserve">Improve operational excellence (sales): </t>
    </r>
    <r>
      <rPr>
        <sz val="10"/>
        <rFont val="Arial"/>
        <family val="2"/>
      </rPr>
      <t xml:space="preserve"> Finance Penetration % (brokerage | leasing | other)</t>
    </r>
  </si>
  <si>
    <t>Honda: New/Used 74% - CJDR: New/Used 74% - Volvo: New 84%/Used 55%</t>
  </si>
  <si>
    <t>Overall Finance Pen (lease and brokerage included)</t>
  </si>
  <si>
    <t>UAE only. Honda 13%, CJDR 18%, Volvo 22%</t>
  </si>
  <si>
    <r>
      <rPr>
        <b/>
        <sz val="10"/>
        <rFont val="Arial"/>
        <family val="2"/>
      </rPr>
      <t xml:space="preserve">Improve operational excellence (aftersales): </t>
    </r>
    <r>
      <rPr>
        <sz val="10"/>
        <rFont val="Arial"/>
        <family val="2"/>
      </rPr>
      <t xml:space="preserve"> Service Retention (UAE)</t>
    </r>
  </si>
  <si>
    <t>Honda: 58.1% - CJDR 74.7% - Volvo 62.4%</t>
  </si>
  <si>
    <r>
      <rPr>
        <b/>
        <sz val="10"/>
        <rFont val="Arial"/>
        <family val="2"/>
      </rPr>
      <t xml:space="preserve">Improve operational excellence (aftersales): </t>
    </r>
    <r>
      <rPr>
        <sz val="10"/>
        <rFont val="Arial"/>
        <family val="2"/>
      </rPr>
      <t xml:space="preserve"> Accessories (AED) per New Unit</t>
    </r>
  </si>
  <si>
    <t>Honda: 1.623 AED / CJDR: 1.943 AED / Volvo: 2.656 AED</t>
  </si>
  <si>
    <r>
      <rPr>
        <b/>
        <sz val="10"/>
        <rFont val="Arial"/>
        <family val="2"/>
      </rPr>
      <t xml:space="preserve">Improve operational excellence (Sales &amp; Aftersales): </t>
    </r>
    <r>
      <rPr>
        <sz val="10"/>
        <rFont val="Arial"/>
        <family val="2"/>
      </rPr>
      <t>Branch standards &amp; process improvement</t>
    </r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</si>
  <si>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Audit actions</t>
    </r>
  </si>
  <si>
    <t>As per GIAD. Items tagged to TE, OMASCO, DOMASCO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</si>
  <si>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New car + MC volume (subject to ideal stock depth of the brand throughout the year) / stock coverage</t>
    </r>
  </si>
  <si>
    <t>CJDR: 4.790 / Honda UAE: 6.394 / Volvo UAE: 2.363 / Honda Qatar: 1.988 / GAC Qatar: 1.563 / Volvo Qatar: 195 / Honda Oman: 1207 / Volvo Oman 90 ||| MC: UAE: 6.885 / Qatar: 760 / Oman: 175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</si>
  <si>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Used car volume</t>
    </r>
  </si>
  <si>
    <t>Honda: 642 / CJDR: 1.035/ Volvo 441 / Qatar: 1008 / Oman: 170</t>
  </si>
  <si>
    <t>Honda: 86 | CJDR: 88 | Volvo: 83| Omasco: 70 | Domasco: 83</t>
  </si>
  <si>
    <t>Honda: 82 | CJDR: 73 | Volvo: 73</t>
  </si>
  <si>
    <t>5.71%: 2024 Overlay Total MPC % Revenue (Total = Indirect + Direct)</t>
  </si>
  <si>
    <t>84% favourability score for Dealers Brand Entities</t>
  </si>
  <si>
    <t>Electric Mobility</t>
  </si>
  <si>
    <t>Consolidate strong financial foundation: EBIT - Total Automotive</t>
  </si>
  <si>
    <t>Consolidate strong financial foundation: EBIT - Total AFE</t>
  </si>
  <si>
    <t>UAE -51M (BYD -34.8M, Polestar -16.0M)
KSA -137M</t>
  </si>
  <si>
    <t>Consolidate strong financial foundation: EBIT - Used Cars (AFE)</t>
  </si>
  <si>
    <t>+0.7M EBIT of Used Car (BYD -0.3, Polestar +1.0)</t>
  </si>
  <si>
    <t>Consolidate strong financial foundation: EBIT - AFE Aftersales</t>
  </si>
  <si>
    <t>-6.2M EBIT of Used Car (BYD -5.0, Polestar -1.2)</t>
  </si>
  <si>
    <t>Consolidate strong financial foundation: EBIT% - AFE</t>
  </si>
  <si>
    <t>BYD -11.0%
Polestar -12.0%
BYD KSA -37.8%</t>
  </si>
  <si>
    <t>BYD -12.5%
Polestar -15.2%
BYD KSA -37.8%</t>
  </si>
  <si>
    <t>Consolidate strong financial foundation: FCF - Excl. Financial Services, Rental &amp; Leasing</t>
  </si>
  <si>
    <t>UAE -51M (BYD -35M, Polestar -16M)
KSA -278M</t>
  </si>
  <si>
    <t>Consolidate strong financial foundation: Adjusted Average ROCE % - Excl. Financial Services, Rental &amp; Leasing</t>
  </si>
  <si>
    <t>BYD -23.2%
Polestar -22%
BYD KSA -64.4%</t>
  </si>
  <si>
    <t>Consolidate strong financial foundation: Cash Conversion Cycle Days (CCC) - Excl. Financial Services, Rental &amp; Leasing</t>
  </si>
  <si>
    <t xml:space="preserve"> 240 days (with deferred revenue -BYD) </t>
  </si>
  <si>
    <t>Consolidate strong financial foundation: Indirect Expenses (excl. Provisions) % of Revenue</t>
  </si>
  <si>
    <t>BYD 23.5%
Polestar 29.8%
BYD KSA 44.9%</t>
  </si>
  <si>
    <t>BYD 25.4%
Polestar 34.9%
BYD KSA 44.9%</t>
  </si>
  <si>
    <t>Achieve 2024 Network Expansion - UAE including onboarded &amp; trained team in place</t>
  </si>
  <si>
    <t>Network expansion to be achieved by Q4 2024
BYD - SZR
BYD - Abu Dabi
BYD - Sharjah
BYD - RAK
BYD Alain
Polestar Abu Dhabi
EV After Sales Set-up UAE (DIP and ADH Mussaffah)</t>
  </si>
  <si>
    <t>Achieve 2024 Network Expansion - KSA including onboarded &amp; trained team in place</t>
  </si>
  <si>
    <t>Network expansion to be achieved by Q4 2024
BYD - Riyad 3S
BYD - Body &amp; Paint
BYD - Jeddah Automall (1S)
BYD - Jeddah Automall Service &amp; Stock Yard
BYD - Jeddah 3S
BYD - Dammam 3S
B&amp;P/Servicing - temp solutions till permanent locations in place</t>
  </si>
  <si>
    <r>
      <rPr>
        <b/>
        <sz val="10"/>
        <color rgb="FF000000"/>
        <rFont val="Arial"/>
        <family val="2"/>
      </rPr>
      <t xml:space="preserve">Improve operational excellence (sales): </t>
    </r>
    <r>
      <rPr>
        <sz val="10"/>
        <color rgb="FF000000"/>
        <rFont val="Arial"/>
        <family val="2"/>
      </rPr>
      <t xml:space="preserve"> Leads Unattended %</t>
    </r>
  </si>
  <si>
    <r>
      <rPr>
        <b/>
        <sz val="10"/>
        <color rgb="FF000000"/>
        <rFont val="Arial"/>
        <family val="2"/>
      </rPr>
      <t>Improve operational excellence (sales):</t>
    </r>
    <r>
      <rPr>
        <sz val="10"/>
        <color rgb="FF000000"/>
        <rFont val="Arial"/>
        <family val="2"/>
      </rPr>
      <t xml:space="preserve">  Leads Turnaround Time at branch</t>
    </r>
  </si>
  <si>
    <r>
      <t xml:space="preserve">Improve operational excellence: </t>
    </r>
    <r>
      <rPr>
        <sz val="10"/>
        <color rgb="FF000000"/>
        <rFont val="Arial"/>
        <family val="2"/>
      </rPr>
      <t>Stock Ageing</t>
    </r>
  </si>
  <si>
    <t>&lt;5% New stock &gt;180 days | &lt;10% Used &gt;90 days</t>
  </si>
  <si>
    <r>
      <rPr>
        <b/>
        <sz val="10"/>
        <color rgb="FF000000"/>
        <rFont val="Arial"/>
        <family val="2"/>
      </rPr>
      <t xml:space="preserve">Improve operational excellence (sales): </t>
    </r>
    <r>
      <rPr>
        <sz val="10"/>
        <color rgb="FF000000"/>
        <rFont val="Arial"/>
        <family val="2"/>
      </rPr>
      <t xml:space="preserve"> Finance Penetration % (brokerage | leasing | other)</t>
    </r>
  </si>
  <si>
    <r>
      <rPr>
        <b/>
        <sz val="10"/>
        <color rgb="FF000000"/>
        <rFont val="Arial"/>
        <family val="2"/>
      </rPr>
      <t xml:space="preserve">Improve operational excellence (aftersales): </t>
    </r>
    <r>
      <rPr>
        <sz val="10"/>
        <color rgb="FF000000"/>
        <rFont val="Arial"/>
        <family val="2"/>
      </rPr>
      <t xml:space="preserve"> Service Retention</t>
    </r>
  </si>
  <si>
    <t>Polestar 15.8% (2 year /20K)
BYD 22.7% (PHEV 1 year /10K, BEV 1 Year /20K))</t>
  </si>
  <si>
    <r>
      <rPr>
        <b/>
        <sz val="10"/>
        <color rgb="FF000000"/>
        <rFont val="Arial"/>
        <family val="2"/>
      </rPr>
      <t xml:space="preserve">Improve operational excellence (aftersales): </t>
    </r>
    <r>
      <rPr>
        <sz val="10"/>
        <color rgb="FF000000"/>
        <rFont val="Arial"/>
        <family val="2"/>
      </rPr>
      <t xml:space="preserve"> Accessories (AED) per New Unit</t>
    </r>
  </si>
  <si>
    <t>AED 600 per Retail Unit</t>
  </si>
  <si>
    <t>Sales only. Baselining to happen April 2024</t>
  </si>
  <si>
    <r>
      <rPr>
        <b/>
        <sz val="10"/>
        <color rgb="FF000000"/>
        <rFont val="Arial"/>
        <family val="2"/>
      </rPr>
      <t xml:space="preserve">Improve operational excellence (aftersales): </t>
    </r>
    <r>
      <rPr>
        <sz val="10"/>
        <color rgb="FF000000"/>
        <rFont val="Arial"/>
        <family val="2"/>
      </rPr>
      <t>Branch Standards and process improvement</t>
    </r>
  </si>
  <si>
    <t>As per GIAD. Items tagged to AFE</t>
  </si>
  <si>
    <t>Consolidate strong financial foundation: New car volume (subject to ideal stock depth of the brand throughout the year) / stock coverage</t>
  </si>
  <si>
    <t>Total Volume 3,721 (BYD 2,893 , Polest 828)</t>
  </si>
  <si>
    <t>Consolidate strong financial foundation: Used car volume</t>
  </si>
  <si>
    <t>134 Pre-Owned Units (30 BYD, 104 Polestar)</t>
  </si>
  <si>
    <t>Enhance customer experience:  NPS (new) + Google Review</t>
  </si>
  <si>
    <t>NPS 84,Google Review: New sites 4+ existing sites 4.5+</t>
  </si>
  <si>
    <t>Enhance customer experience:  NPS (aftersales)</t>
  </si>
  <si>
    <t>7.72%: 2024 Overlay Total MPC % Revenue (Total = Indirect + Direct)</t>
  </si>
  <si>
    <t>86% favourability score for AFE</t>
  </si>
  <si>
    <t>Global Aftersales</t>
  </si>
  <si>
    <t>4377.5 Mln AED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</si>
  <si>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Aftersales Overall (UAE + Intl) EBIT</t>
    </r>
  </si>
  <si>
    <t>AED 612.9 Mln</t>
  </si>
  <si>
    <t>AED 644.1 Mln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</si>
  <si>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ALAC Aftersales EBIT only</t>
    </r>
  </si>
  <si>
    <t xml:space="preserve">AED 352.4 Mln </t>
  </si>
  <si>
    <t>AED 367.5 Mln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</si>
  <si>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 % of revenue - Global Aftersales</t>
    </r>
  </si>
  <si>
    <t>AED 323 Million</t>
  </si>
  <si>
    <t>Pending ALAC unwind. KPI share by Controller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</si>
  <si>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Cash Conversion Cycle Days (CCC) - ALAC only</t>
    </r>
  </si>
  <si>
    <t>10.8 Days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</si>
  <si>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Indirect Expenses (excl. Provisions) % of Revenue - Global Aftersales</t>
    </r>
  </si>
  <si>
    <r>
      <t xml:space="preserve">Enhance technology capabilities: </t>
    </r>
    <r>
      <rPr>
        <sz val="10"/>
        <rFont val="Arial"/>
        <family val="2"/>
      </rPr>
      <t xml:space="preserve">Tier 1 and B&amp;P Digital Journey  </t>
    </r>
  </si>
  <si>
    <t xml:space="preserve">B&amp;P : Imp.of all 4 Phases. Customer Journey from 4 to 1, incremental profit of 1.08 mln AED in year 1
Tier 1:  agreed projects to deliver, Supports standardisation, compliance and faciliates customer experience 
Prepares for SAP 4 Hana and C4C. </t>
  </si>
  <si>
    <r>
      <rPr>
        <b/>
        <sz val="10"/>
        <rFont val="Arial"/>
        <family val="2"/>
      </rPr>
      <t xml:space="preserve">Improve operational excellence (aftersales): </t>
    </r>
    <r>
      <rPr>
        <sz val="10"/>
        <rFont val="Arial"/>
        <family val="2"/>
      </rPr>
      <t>Accessories (AED) per New Unit</t>
    </r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</si>
  <si>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 Service Retention Tier 1 (all passenger cars; AFA UAE)</t>
    </r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</si>
  <si>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Tier 2, ( AC, AC express, B2B and TPC) including operational turnaround</t>
    </r>
  </si>
  <si>
    <t>Tier 2 ( All makes, all channels); revenue: 112mln, EBIT: (Auto centers: 1.7mln, TPC:-0.7)= 1mln</t>
  </si>
  <si>
    <r>
      <rPr>
        <b/>
        <sz val="10"/>
        <rFont val="Arial"/>
        <family val="2"/>
      </rPr>
      <t xml:space="preserve">Improve operational excellence (Aftersales): </t>
    </r>
    <r>
      <rPr>
        <sz val="10"/>
        <rFont val="Arial"/>
        <family val="2"/>
      </rPr>
      <t>Branch standards &amp; process improvement</t>
    </r>
  </si>
  <si>
    <t>Aftersales. Baselining to happen April 2024</t>
  </si>
  <si>
    <t>As per GIAD. Items tagged to Global Aftersales</t>
  </si>
  <si>
    <r>
      <rPr>
        <b/>
        <sz val="10"/>
        <rFont val="Arial"/>
        <family val="2"/>
      </rPr>
      <t>Expand Product, service &amp; geography:</t>
    </r>
    <r>
      <rPr>
        <sz val="10"/>
        <rFont val="Arial"/>
        <family val="2"/>
      </rPr>
      <t xml:space="preserve"> Tier 2 EV aftersales expansion </t>
    </r>
  </si>
  <si>
    <t>Tier 2 Expansion (deliver 4 new sites ) - Deliver as per approved AFE for each site
Convert 2 AF centers sites to have an EV bays in UAE</t>
  </si>
  <si>
    <r>
      <rPr>
        <b/>
        <sz val="10"/>
        <rFont val="Arial"/>
        <family val="2"/>
      </rPr>
      <t>Expand Product service &amp; geography:</t>
    </r>
    <r>
      <rPr>
        <sz val="10"/>
        <rFont val="Arial"/>
        <family val="2"/>
      </rPr>
      <t xml:space="preserve"> Additional Customer activation</t>
    </r>
  </si>
  <si>
    <t>Additional Customers +500 (B2B, IB &amp; TPC)</t>
  </si>
  <si>
    <t>Active net new customers to be added ( across B2B and TPC)</t>
  </si>
  <si>
    <r>
      <rPr>
        <b/>
        <sz val="10"/>
        <rFont val="Arial"/>
        <family val="2"/>
      </rPr>
      <t xml:space="preserve">Enhance customer experience: </t>
    </r>
    <r>
      <rPr>
        <sz val="10"/>
        <rFont val="Arial"/>
        <family val="2"/>
      </rPr>
      <t>NPS (service)</t>
    </r>
  </si>
  <si>
    <r>
      <rPr>
        <b/>
        <sz val="10"/>
        <rFont val="Arial"/>
        <family val="2"/>
      </rPr>
      <t xml:space="preserve">Enhance customer experience: </t>
    </r>
    <r>
      <rPr>
        <sz val="10"/>
        <rFont val="Arial"/>
        <family val="2"/>
      </rPr>
      <t>NPS (Body &amp; Paint)</t>
    </r>
  </si>
  <si>
    <t>NPS B&amp;P: 64 --&gt; 67 ( similar principal as Tier 1)</t>
  </si>
  <si>
    <t>9.3%: (Total overlay MPC % Revenue (Total = Indirect + Direct)</t>
  </si>
  <si>
    <t>91% favourability score for ALAC</t>
  </si>
  <si>
    <t>Global Fleet &amp; Remarketing</t>
  </si>
  <si>
    <r>
      <rPr>
        <b/>
        <sz val="10"/>
        <color rgb="FF000000"/>
        <rFont val="Arial"/>
        <family val="2"/>
      </rPr>
      <t xml:space="preserve">Consolidate strong financial foundation: </t>
    </r>
    <r>
      <rPr>
        <sz val="10"/>
        <color rgb="FF000000"/>
        <rFont val="Arial"/>
        <family val="2"/>
      </rPr>
      <t>EBIT - Used Cars (CPOV &amp; Fleet total - Excl. Automall)</t>
    </r>
  </si>
  <si>
    <t>1285 Mln AED (CPOV: 102.9M AED + Fleet incl. SME: 1182.1M AED)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</si>
  <si>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Automall (UAE only)</t>
    </r>
  </si>
  <si>
    <t>7.05 Mln AED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</si>
  <si>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% of revenue -  Automall &amp; CPOV</t>
    </r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</si>
  <si>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FCF - Automall</t>
    </r>
  </si>
  <si>
    <t>9.2 Mln AED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</si>
  <si>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Adjusted Average ROCE % - Automall</t>
    </r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</si>
  <si>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Cash Conversion Cycle Days (CCC) - Automall</t>
    </r>
  </si>
  <si>
    <t>34.3 Days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</si>
  <si>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Indirect Expenses (excl. Provisions) % of Revenue - Automall &amp; CPOV</t>
    </r>
  </si>
  <si>
    <t>Improve operational excellence (used cars): Leads Unattended %</t>
  </si>
  <si>
    <r>
      <rPr>
        <b/>
        <sz val="10"/>
        <rFont val="Arial"/>
        <family val="2"/>
      </rPr>
      <t xml:space="preserve">Improve operational excellence (used cars): </t>
    </r>
    <r>
      <rPr>
        <sz val="10"/>
        <rFont val="Arial"/>
        <family val="2"/>
      </rPr>
      <t>Leads Turnaround Time</t>
    </r>
  </si>
  <si>
    <r>
      <rPr>
        <b/>
        <sz val="10"/>
        <rFont val="Arial"/>
        <family val="2"/>
      </rPr>
      <t xml:space="preserve">Improve operational excellence (used cars): </t>
    </r>
    <r>
      <rPr>
        <sz val="10"/>
        <rFont val="Arial"/>
        <family val="2"/>
      </rPr>
      <t>Finance Penetration % (Automall)</t>
    </r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</si>
  <si>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Staff lease contracts</t>
    </r>
  </si>
  <si>
    <t>1.300 contracts (+10% VS 2023)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</si>
  <si>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Trade in % + appraisal conversion</t>
    </r>
  </si>
  <si>
    <t>11% Trade in% //  15% Appraisal conversion</t>
  </si>
  <si>
    <r>
      <rPr>
        <b/>
        <sz val="10"/>
        <rFont val="Arial"/>
        <family val="2"/>
      </rPr>
      <t xml:space="preserve">Improve operational excellence (used cars): </t>
    </r>
    <r>
      <rPr>
        <sz val="10"/>
        <rFont val="Arial"/>
        <family val="2"/>
      </rPr>
      <t>Automall Sustainble Profitability Plan</t>
    </r>
  </si>
  <si>
    <t>Approved plan with President and Vice President</t>
  </si>
  <si>
    <r>
      <rPr>
        <b/>
        <sz val="10"/>
        <rFont val="Arial"/>
        <family val="2"/>
      </rPr>
      <t>Increase digital sales power (Used Cars):</t>
    </r>
    <r>
      <rPr>
        <sz val="10"/>
        <rFont val="Arial"/>
        <family val="2"/>
      </rPr>
      <t xml:space="preserve"> Invoices% of total, generated from Digital leads (Digital contribution to sales) </t>
    </r>
  </si>
  <si>
    <t>23% - Digital contribution to sales</t>
  </si>
  <si>
    <r>
      <rPr>
        <b/>
        <sz val="10"/>
        <rFont val="Arial"/>
        <family val="2"/>
      </rPr>
      <t xml:space="preserve">Improve operational excellence (Automall): </t>
    </r>
    <r>
      <rPr>
        <sz val="10"/>
        <rFont val="Arial"/>
        <family val="2"/>
      </rPr>
      <t>Branch standards &amp; process improvement</t>
    </r>
  </si>
  <si>
    <t>Automall. Baselining to happen April 2024</t>
  </si>
  <si>
    <t>As per GIAD. Items tagged to Used Cars, Automall, Fleet/B2B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</si>
  <si>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>B2B volume</t>
    </r>
  </si>
  <si>
    <t xml:space="preserve">50.750 units (SME and B2B Passenger cars. Exc. Dealer and Large Fleet ) </t>
  </si>
  <si>
    <t xml:space="preserve">17.944 units (UAE + Intl) </t>
  </si>
  <si>
    <r>
      <rPr>
        <b/>
        <sz val="10"/>
        <rFont val="Arial"/>
        <family val="2"/>
      </rPr>
      <t xml:space="preserve">Expand product, services &amp; geography: </t>
    </r>
    <r>
      <rPr>
        <sz val="10"/>
        <rFont val="Arial"/>
        <family val="2"/>
      </rPr>
      <t>Study on Used Cars business opportunity as part of Turn around project Kenya</t>
    </r>
  </si>
  <si>
    <r>
      <rPr>
        <b/>
        <sz val="10"/>
        <rFont val="Arial"/>
        <family val="2"/>
      </rPr>
      <t xml:space="preserve">Expand product, services &amp; geography: </t>
    </r>
    <r>
      <rPr>
        <sz val="10"/>
        <rFont val="Arial"/>
        <family val="2"/>
      </rPr>
      <t>Autorola JV results (AF revenue)</t>
    </r>
  </si>
  <si>
    <t>5.738 units  auctioned through the Auction Platform</t>
  </si>
  <si>
    <r>
      <rPr>
        <b/>
        <sz val="10"/>
        <rFont val="Arial"/>
        <family val="2"/>
      </rPr>
      <t xml:space="preserve">Enhance customer experience: </t>
    </r>
    <r>
      <rPr>
        <sz val="10"/>
        <rFont val="Arial"/>
        <family val="2"/>
      </rPr>
      <t>NPS (Automall)</t>
    </r>
  </si>
  <si>
    <t>4.17%: 2024 Overlay Total MPC % Revenue (Total = Indirect + Direct)
2024 Overlay Target COEs (Total = Indirect + Direct) of 0.24M</t>
  </si>
  <si>
    <t>86% favourability score for Global Fleet and Marketing</t>
  </si>
  <si>
    <t>Toyota Egypt</t>
  </si>
  <si>
    <r>
      <rPr>
        <b/>
        <sz val="10"/>
        <rFont val="Arial"/>
        <family val="2"/>
      </rPr>
      <t>Consolidate strong financial foundation</t>
    </r>
    <r>
      <rPr>
        <sz val="10"/>
        <rFont val="Arial"/>
        <family val="2"/>
      </rPr>
      <t>: EBIT - Total Automotive (TEG EBIT)</t>
    </r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</si>
  <si>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 - Used Cars (total)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</si>
  <si>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Global Aftersales</t>
    </r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</si>
  <si>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EBIT% - TEG</t>
    </r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</si>
  <si>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Stock Ageing; ideal stock depth 2.0 for TEG</t>
    </r>
  </si>
  <si>
    <t>Used Car &lt;10% total stock &gt;90 days</t>
  </si>
  <si>
    <r>
      <rPr>
        <b/>
        <sz val="10"/>
        <rFont val="Arial"/>
        <family val="2"/>
      </rPr>
      <t>Improve operational excellence (used cars):</t>
    </r>
    <r>
      <rPr>
        <sz val="10"/>
        <rFont val="Arial"/>
        <family val="2"/>
      </rPr>
      <t xml:space="preserve"> Cash Buy / Trade in %</t>
    </r>
  </si>
  <si>
    <r>
      <rPr>
        <b/>
        <sz val="10"/>
        <rFont val="Arial"/>
        <family val="2"/>
      </rPr>
      <t xml:space="preserve">Improve operational excellence (aftersales): </t>
    </r>
    <r>
      <rPr>
        <sz val="10"/>
        <rFont val="Arial"/>
        <family val="2"/>
      </rPr>
      <t>Service Retention</t>
    </r>
  </si>
  <si>
    <r>
      <rPr>
        <b/>
        <sz val="10"/>
        <rFont val="Arial"/>
        <family val="2"/>
      </rPr>
      <t xml:space="preserve">Improve operational excellence (aftersales): </t>
    </r>
    <r>
      <rPr>
        <sz val="10"/>
        <rFont val="Arial"/>
        <family val="2"/>
      </rPr>
      <t>Parts Aged Stock &gt;3 Years</t>
    </r>
  </si>
  <si>
    <t>Sales &amp; Aftersales. Baselining to happen June 2024</t>
  </si>
  <si>
    <t>As per GIAD. Items tagged to TEG</t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</si>
  <si>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NPS (new)</t>
    </r>
  </si>
  <si>
    <r>
      <rPr>
        <b/>
        <sz val="10"/>
        <rFont val="Arial"/>
        <family val="2"/>
      </rPr>
      <t>Enhance customer experience:</t>
    </r>
    <r>
      <rPr>
        <sz val="10"/>
        <rFont val="Arial"/>
        <family val="2"/>
      </rPr>
      <t xml:space="preserve"> NPS (aftersales)</t>
    </r>
  </si>
  <si>
    <t>2.62%: 2024 Overlay Total MPC % Revenue (Total = Indirect + Direct)</t>
  </si>
  <si>
    <t>Industrial Equipment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</si>
  <si>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 - Total IE</t>
    </r>
  </si>
  <si>
    <t>150Mn</t>
  </si>
  <si>
    <t>165Mn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</si>
  <si>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EBIT - IE Aftersales</t>
    </r>
  </si>
  <si>
    <t>90Mn</t>
  </si>
  <si>
    <t>96Mn</t>
  </si>
  <si>
    <t>5% higher weighting due to no used EBIT target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</si>
  <si>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EBIT% - Total IE</t>
    </r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</si>
  <si>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FCF - Excl. CV</t>
    </r>
  </si>
  <si>
    <t>12Mn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</si>
  <si>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Adjusted Average ROCE % - Excl.CV &amp; DOMASCO IE</t>
    </r>
  </si>
  <si>
    <t>49 Days</t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</si>
  <si>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Total Units Stock Ageing </t>
    </r>
  </si>
  <si>
    <t>MOS 4 months</t>
  </si>
  <si>
    <t>Example of Hino - Limited production- stocked up for the year</t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</si>
  <si>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 Service Contract Penetration </t>
    </r>
  </si>
  <si>
    <t>+3% vs 2023A</t>
  </si>
  <si>
    <r>
      <rPr>
        <b/>
        <sz val="10"/>
        <rFont val="Arial"/>
        <family val="2"/>
      </rPr>
      <t>Improve operational excellence (aftersales):</t>
    </r>
    <r>
      <rPr>
        <sz val="10"/>
        <rFont val="Arial"/>
        <family val="2"/>
      </rPr>
      <t xml:space="preserve">  Parts aged stock (&gt;3 years)</t>
    </r>
  </si>
  <si>
    <t>&lt;5%</t>
  </si>
  <si>
    <t>As per wider AFA targets</t>
  </si>
  <si>
    <r>
      <rPr>
        <b/>
        <sz val="10"/>
        <rFont val="Arial"/>
        <family val="2"/>
      </rPr>
      <t>Products, Services &amp; Geography:</t>
    </r>
    <r>
      <rPr>
        <sz val="10"/>
        <rFont val="Arial"/>
        <family val="2"/>
      </rPr>
      <t xml:space="preserve"> Qatar growth plan</t>
    </r>
  </si>
  <si>
    <t>Launch of Ashok Qatar and Network expansion for Qatar (1 additional Branch)</t>
  </si>
  <si>
    <r>
      <rPr>
        <b/>
        <sz val="10"/>
        <rFont val="Arial"/>
        <family val="2"/>
      </rPr>
      <t>Growth Strategy:</t>
    </r>
    <r>
      <rPr>
        <sz val="10"/>
        <rFont val="Arial"/>
        <family val="2"/>
      </rPr>
      <t xml:space="preserve"> Prepare &amp; Present Business Cases for Volvo Regional Expansion (Project Evolve)</t>
    </r>
  </si>
  <si>
    <t>Target to be set as per business case approval</t>
  </si>
  <si>
    <t>Under review. Target will be confirmed once Preseident approves case</t>
  </si>
  <si>
    <r>
      <rPr>
        <b/>
        <sz val="10"/>
        <rFont val="Arial"/>
        <family val="2"/>
      </rPr>
      <t>Growth Strategy:</t>
    </r>
    <r>
      <rPr>
        <sz val="10"/>
        <rFont val="Arial"/>
        <family val="2"/>
      </rPr>
      <t xml:space="preserve"> Prepare &amp; Present Business Cases for BYD Commercial Vehicles (UAE &amp; KSA)</t>
    </r>
  </si>
  <si>
    <r>
      <rPr>
        <b/>
        <sz val="10"/>
        <rFont val="Arial"/>
        <family val="2"/>
      </rPr>
      <t>Growth Strategy:</t>
    </r>
    <r>
      <rPr>
        <sz val="10"/>
        <rFont val="Arial"/>
        <family val="2"/>
      </rPr>
      <t xml:space="preserve"> Prepare &amp; Present Regional Marine Expansion Plan (Project Anchor)</t>
    </r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</si>
  <si>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Network refurbishment plan (Famco Abu Dhabi, Famco Parts Ramool, Famco KSA &amp; Domasco CV)</t>
    </r>
  </si>
  <si>
    <t>Delivery of all projects by Q4 2024</t>
  </si>
  <si>
    <t>KSA focus</t>
  </si>
  <si>
    <t>As per GIAD. Items tagged to IE</t>
  </si>
  <si>
    <r>
      <rPr>
        <b/>
        <sz val="10"/>
        <rFont val="Arial"/>
        <family val="2"/>
      </rPr>
      <t>Consolidate strong financial foundation:</t>
    </r>
    <r>
      <rPr>
        <sz val="10"/>
        <rFont val="Arial"/>
        <family val="2"/>
      </rPr>
      <t xml:space="preserve"> IE volume</t>
    </r>
  </si>
  <si>
    <r>
      <rPr>
        <b/>
        <sz val="10"/>
        <rFont val="Arial"/>
        <family val="2"/>
      </rPr>
      <t>Products, Services &amp; Geography:</t>
    </r>
    <r>
      <rPr>
        <sz val="10"/>
        <rFont val="Arial"/>
        <family val="2"/>
      </rPr>
      <t xml:space="preserve"> KSA growth plan</t>
    </r>
  </si>
  <si>
    <t>KSA EBIT target AED 21M and Hangcha EBIT- AED 0.2M (Operational by H2 2024)</t>
  </si>
  <si>
    <t>Inc. Hangcha and Ashok</t>
  </si>
  <si>
    <r>
      <rPr>
        <b/>
        <sz val="10"/>
        <rFont val="Arial"/>
        <family val="2"/>
      </rPr>
      <t xml:space="preserve">Products, Services &amp; Geography: </t>
    </r>
    <r>
      <rPr>
        <sz val="10"/>
        <rFont val="Arial"/>
        <family val="2"/>
      </rPr>
      <t xml:space="preserve"> Tier 2 growth plan (KSA)</t>
    </r>
  </si>
  <si>
    <t>Tier 2 revenue ambition and EBIT for 2024 (operational by H2 2024)- Revenue AED 10M and EBIT AED 0.5M</t>
  </si>
  <si>
    <t>UAE Tier 2 growth plan part of existing growth plan</t>
  </si>
  <si>
    <t>MPC 7.4 % of revenue ~ Overlay is 7.1% of Revenue</t>
  </si>
  <si>
    <r>
      <rPr>
        <b/>
        <sz val="10"/>
        <rFont val="Arial"/>
        <family val="2"/>
      </rPr>
      <t xml:space="preserve">Be a private sector leader for Saudi development: </t>
    </r>
    <r>
      <rPr>
        <sz val="10"/>
        <rFont val="Arial"/>
        <family val="2"/>
      </rPr>
      <t xml:space="preserve"> Saudisation</t>
    </r>
  </si>
  <si>
    <t>Achieve no less than 47% Saudisation by end of 2024</t>
  </si>
  <si>
    <t>86% favourability score for Industrial Equipment</t>
  </si>
  <si>
    <t>Government Relations &amp; HSSE</t>
  </si>
  <si>
    <r>
      <rPr>
        <b/>
        <sz val="10"/>
        <rFont val="Arial"/>
        <family val="2"/>
      </rPr>
      <t xml:space="preserve">Consolidate strong financial foundation: </t>
    </r>
    <r>
      <rPr>
        <sz val="10"/>
        <rFont val="Arial"/>
        <family val="2"/>
      </rPr>
      <t>EBIT % - Total Automotive</t>
    </r>
  </si>
  <si>
    <t>Improve Operational Excellence: HSSE standards &amp; continuous improvement</t>
  </si>
  <si>
    <t>Only items tagged as HSSE. Qualifiers:
- All policies/regulations added to central repository (Monday.com managed by Operational Performance team)
- All SOPs added to central repository (Monday.com managed by Operational Performance team)
- All DOAs added to central repository (Monday.com managed by Operational Performance team)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</si>
  <si>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Regulatory compliance</t>
    </r>
  </si>
  <si>
    <t>100% of sites (compliance audit completions)</t>
  </si>
  <si>
    <t>Perimeter is all business entities sitting under Business Operations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</si>
  <si>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HSSE Compliance</t>
    </r>
  </si>
  <si>
    <t>&gt;80% compliance score + No high risk audit recommendations &gt;90 days</t>
  </si>
  <si>
    <t>From HSSE compliance audits + GIAD audit reporting (tagged as High Risk and HSSE category). Perimeter is all business entities sitting under Business Operations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</si>
  <si>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Maximize Cost Savings through effective counterfeit detection and legal actions to reduce brand dilution and protect the revenue streams</t>
    </r>
  </si>
  <si>
    <t>No high risk audit recommendations &gt;90 days relating to raid actions</t>
  </si>
  <si>
    <t>Perimeter: Audit findings categorised to Counterfeit</t>
  </si>
  <si>
    <r>
      <rPr>
        <b/>
        <sz val="10"/>
        <rFont val="Arial"/>
        <family val="2"/>
      </rPr>
      <t xml:space="preserve">Improve operational excellence (Government): </t>
    </r>
    <r>
      <rPr>
        <sz val="10"/>
        <rFont val="Arial"/>
        <family val="2"/>
      </rPr>
      <t>Optimize processes for government interactions</t>
    </r>
  </si>
  <si>
    <t>100% response rate to all Government TPIC cases</t>
  </si>
  <si>
    <t>As per specified SLAs within policy + oversight of all government events</t>
  </si>
  <si>
    <r>
      <rPr>
        <b/>
        <sz val="10"/>
        <rFont val="Arial"/>
        <family val="2"/>
      </rPr>
      <t>Expand Products, Services &amp; Geographies:</t>
    </r>
    <r>
      <rPr>
        <sz val="10"/>
        <rFont val="Arial"/>
        <family val="2"/>
      </rPr>
      <t xml:space="preserve"> Affiliates programme</t>
    </r>
  </si>
  <si>
    <t>2,200 unit sales through programme</t>
  </si>
  <si>
    <t>UAE</t>
  </si>
  <si>
    <t>0.39Mn: 2024 Overlay Total MPC % Revenue (Total = Indirect + Direct)</t>
  </si>
  <si>
    <t>88% for HSSE &amp; GR</t>
  </si>
  <si>
    <t>Operations Performance &amp; Business Planning</t>
  </si>
  <si>
    <r>
      <rPr>
        <b/>
        <sz val="10"/>
        <rFont val="Arial"/>
        <family val="2"/>
      </rPr>
      <t>Improve operational excellence (sales):</t>
    </r>
    <r>
      <rPr>
        <sz val="10"/>
        <rFont val="Arial"/>
        <family val="2"/>
      </rPr>
      <t xml:space="preserve"> Leads Unattended %</t>
    </r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</si>
  <si>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Branch standards &amp; process improvement</t>
    </r>
  </si>
  <si>
    <t>Tier 1 Sales, Tier 1 Aftersales, Automall. Passenger Cars UAE, Oman, Qatar, KSA, Egypt (non JV). Baselining to happen April 2024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</si>
  <si>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Business Excellence Programme</t>
    </r>
  </si>
  <si>
    <t>+10% assessment scores vs baseline (projects undertaken only)</t>
  </si>
  <si>
    <t xml:space="preserve">Pilot with TE; full Passenger Cars UAE, Oman, Qatar, KSA, Egypt (non JV) in 2025. Perimeter is:
- Create programme structure
- Get buy in from VP and VP-1
- Agree pilot sites with MD of TE
- Shortlist/analyse improvement/benefit activity(ies)
- Quantify benefit opportunities
- Measure and then validate through end of year maturity assessment
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</si>
  <si>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Process value analysis and value creation</t>
    </r>
  </si>
  <si>
    <t>&gt;10Mn EBIT impact</t>
  </si>
  <si>
    <t>&gt;25Mn EBIT impact</t>
  </si>
  <si>
    <t>Qualifiers:
Documented action lists (by process and accountability)
Agreed priority focus areas for 2024 (via analysis with brand teams)
Business cases/opportunity assessments for all process improvement activities
Documented delivery plans (with accountability, delivery plans and realisation periods) for all process improvement cases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</si>
  <si>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Branch performance reporting</t>
    </r>
  </si>
  <si>
    <t>100% utilisation (all branches; in scope markets)</t>
  </si>
  <si>
    <t>+ Automall</t>
  </si>
  <si>
    <t>Passenger Cars UAE, Oman, Qatar, KSA, Egypt (non JV)</t>
  </si>
  <si>
    <r>
      <rPr>
        <b/>
        <sz val="10"/>
        <rFont val="Arial"/>
        <family val="2"/>
      </rPr>
      <t>Improve operational excellence:</t>
    </r>
    <r>
      <rPr>
        <sz val="10"/>
        <rFont val="Arial"/>
        <family val="2"/>
      </rPr>
      <t xml:space="preserve"> AFA operating governance/strategic workforce planning (SWP)</t>
    </r>
  </si>
  <si>
    <t>&gt;2.5Mn MPC cost efficiencies</t>
  </si>
  <si>
    <t>&gt;5Mn MPC cost efficiencies</t>
  </si>
  <si>
    <t>Passenger Cars UAE, Oman, Qatar, KSA, Egypt (non JV). 
As qualifier, all activities must have key indicators &amp; calculation glossary &amp; governance structure approved by VP and President</t>
  </si>
  <si>
    <r>
      <rPr>
        <b/>
        <sz val="10"/>
        <rFont val="Arial"/>
        <family val="2"/>
      </rPr>
      <t xml:space="preserve">Improve Operational Excellence: </t>
    </r>
    <r>
      <rPr>
        <sz val="10"/>
        <rFont val="Arial"/>
        <family val="2"/>
      </rPr>
      <t>Digital Branch Management + governance, audits, checklists, actions, policies, DOAs, SOPs</t>
    </r>
  </si>
  <si>
    <t>No high risk audit recommendations &gt;90 days + 100% utilisation (all branches; in scope markets)</t>
  </si>
  <si>
    <t>+ CMC, AGTL, IE</t>
  </si>
  <si>
    <t>Rollout of Branch Management tooling. Passenger Cars UAE, Oman, Qatar, KSA, Egypt (non JV)
Co-ordinated governance, review and action delivery against audit actions</t>
  </si>
  <si>
    <t>Business Unit</t>
  </si>
  <si>
    <t>Brief notes on activity</t>
  </si>
  <si>
    <t>6+6F</t>
  </si>
  <si>
    <t>Variance %</t>
  </si>
  <si>
    <t>H1 ACHIEVEMENT</t>
  </si>
  <si>
    <t>2023 H1 budget/target</t>
  </si>
  <si>
    <t>Actual achievement against 2023 H1 budget/target</t>
  </si>
  <si>
    <t xml:space="preserve">Achievement against 2023 H1 budget/target in percentage </t>
  </si>
  <si>
    <t>H1 Acheivement % multiplied by the weightage</t>
  </si>
  <si>
    <t>Variance between budget and 6+6 in percentage</t>
  </si>
  <si>
    <t>Latest 6+6 full year forecast</t>
  </si>
  <si>
    <t>FULL YEAR BUDGET Vs 6+6F</t>
  </si>
  <si>
    <t>H1 Achievement</t>
  </si>
  <si>
    <t>H1 Target</t>
  </si>
  <si>
    <t>H1 Achievement %</t>
  </si>
  <si>
    <t>H1 Weighted Achievement %</t>
  </si>
  <si>
    <t>Comments</t>
  </si>
  <si>
    <t>2024 Target</t>
  </si>
  <si>
    <t>Weightage</t>
  </si>
  <si>
    <t>Achieve no less than 20.21% Emiratisation by end of 2024
If Emiratisation was equal to 20.21% or higher in 2023, target in 2024 is to maintain % Emiratisation.</t>
  </si>
  <si>
    <t>Achieve no less than 13.88% Emiratisation by end of 2024.***
If Emiratisation was equal to 13.88% or higher in 2023, target in 2024 is to maintain % Emiratisation.</t>
  </si>
  <si>
    <t>Achieve no less than 15.55% Emiratisation by end of 2024.***If Emiratisation was equal to 15.55% or higher in 2023, target in 2024 is to maintain % Emiratisation.</t>
  </si>
  <si>
    <t>Target to be maintained at a minimum of 24.22%</t>
  </si>
  <si>
    <t>Achieve no less than 12.68% Emiratisation by end of 2024.***If Emiratisation was equal to 12.68 % or higher in 2023, target in 2024 is to maintain % Emiratisation.
If Emiratisation was equal to 12.68 % or higher in 2023, target in 2024 is to maintain % Emiratisation.</t>
  </si>
  <si>
    <t>Achieve no less than 13.37% Emiratisation by end of 2024.***If Emiratisation was equal to 13.37% or higher in 2023, target in 2024 is to maintain % Emiratisation.</t>
  </si>
  <si>
    <t>Achieve no less than 13.45% Emiratisation by end of 2024.***If Emiratisation was equal to 13.45% or higher in 2023, target in 2024 is to maintain % Emiratisation.</t>
  </si>
  <si>
    <t>Achieve no less than 89.5% Emiratisation by end of 2024.***If Emiratisation was equal to 89.5% or higher in 2023, target in 2024 is to maintain % Emiratisation.</t>
  </si>
  <si>
    <t>Achieve no less than 25.14% Emiratisation by end of 2024.***If Emiratisation was equal to 25.14% or higher in 2023, target in 2024 is to maintain % Emiratisation.</t>
  </si>
  <si>
    <t>Achieve no less than 25.55% Emiratisation by end of 2024.***If Emiratisation was equal to 25.55% or higher in 2023, target in 2024 is to maintain % Emiratisation.</t>
  </si>
  <si>
    <t>Achieve no less than 19.39% Emiratisation by end of 2024.***If Emiratisation was equal to 19.39% or higher in 2023, target in 2024 is to maintain % Emiratisation.</t>
  </si>
  <si>
    <t>Achieve no less than 34.80% Emiratisation by end of 2024
If Emiratisation was equal to 34.80% or higher in 2023, target in 2024 is to maintain % Emiratisation.</t>
  </si>
  <si>
    <t>Achieve no less than 21.14% Emiratisation by end of 2024.***If Emiratisation was equal to 21.14% or higher in 2023, target in 2024 is to maintain % Emiratisation.</t>
  </si>
  <si>
    <t>Achieve no less than 27.86% Emiratisation by end of 2024.***If Emiratisation was equal to 27.86 % or higher in 2023, target in 2024 is to maintain % Emiratisation.
If Emiratisation was equal to 27.86 % or higher in 2023, target in 2024 is to maintain % Emiratisation.</t>
  </si>
  <si>
    <t>Target to be maintained at a minimum of 7.69%</t>
  </si>
  <si>
    <t>18% 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</si>
</sst>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"/>
    <numFmt numFmtId="167" formatCode="0.000000000000000%"/>
    <numFmt numFmtId="168" formatCode="0.0000000000000000%"/>
    <numFmt numFmtId="169" formatCode="0.00000000000000%"/>
    <numFmt numFmtId="170" formatCode="0.00_);\(0.00\)"/>
    <numFmt numFmtId="171" formatCode="0.000000%"/>
    <numFmt numFmtId="172" formatCode="_(* #,##0.0_);_(* \(#,##0.0\);_(* &quot;-&quot;??_);_(@_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sz val="22"/>
      <color indexed="9"/>
      <name val="Arial"/>
      <family val="2"/>
    </font>
    <font>
      <b/>
      <sz val="18"/>
      <color indexed="10"/>
      <name val="Arial"/>
      <family val="2"/>
    </font>
    <font>
      <b/>
      <sz val="18"/>
      <color indexed="9"/>
      <name val="Arial"/>
      <family val="2"/>
    </font>
    <font>
      <sz val="18"/>
      <name val="Arial"/>
      <family val="2"/>
    </font>
    <font>
      <b/>
      <sz val="16"/>
      <color indexed="9"/>
      <name val="Arial"/>
      <family val="2"/>
    </font>
    <font>
      <sz val="16"/>
      <color indexed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20"/>
      <color rgb="FF00B0F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FF0000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i/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lightUp"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D0D0D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1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1" fillId="0" borderId="0"/>
  </cellStyleXfs>
  <cellXfs count="878">
    <xf numFmtId="0" fontId="0" fillId="0" borderId="0" xfId="0"/>
    <xf numFmtId="0" fontId="7" fillId="0" borderId="0" xfId="0" applyFont="1"/>
    <xf numFmtId="0" fontId="11" fillId="0" borderId="0" xfId="0" applyFont="1"/>
    <xf numFmtId="0" fontId="15" fillId="0" borderId="0" xfId="0" applyFont="1"/>
    <xf numFmtId="0" fontId="14" fillId="0" borderId="0" xfId="0" applyFont="1"/>
    <xf numFmtId="0" fontId="0" fillId="0" borderId="0" xfId="0" applyAlignment="1">
      <alignment horizontal="right"/>
    </xf>
    <xf numFmtId="0" fontId="15" fillId="3" borderId="1" xfId="0" applyFont="1" applyFill="1" applyBorder="1"/>
    <xf numFmtId="0" fontId="7" fillId="3" borderId="2" xfId="0" applyFont="1" applyFill="1" applyBorder="1"/>
    <xf numFmtId="0" fontId="7" fillId="3" borderId="4" xfId="0" applyFont="1" applyFill="1" applyBorder="1"/>
    <xf numFmtId="0" fontId="8" fillId="3" borderId="5" xfId="0" applyFont="1" applyFill="1" applyBorder="1"/>
    <xf numFmtId="0" fontId="8" fillId="3" borderId="5" xfId="0" applyFont="1" applyFill="1" applyBorder="1" applyAlignment="1">
      <alignment horizontal="right"/>
    </xf>
    <xf numFmtId="0" fontId="9" fillId="3" borderId="5" xfId="0" applyFont="1" applyFill="1" applyBorder="1" applyAlignment="1">
      <alignment horizontal="right"/>
    </xf>
    <xf numFmtId="0" fontId="10" fillId="3" borderId="5" xfId="0" applyFont="1" applyFill="1" applyBorder="1" applyAlignment="1" applyProtection="1">
      <alignment horizontal="right"/>
      <protection locked="0"/>
    </xf>
    <xf numFmtId="0" fontId="7" fillId="3" borderId="6" xfId="0" applyFont="1" applyFill="1" applyBorder="1"/>
    <xf numFmtId="0" fontId="11" fillId="3" borderId="7" xfId="0" applyFont="1" applyFill="1" applyBorder="1"/>
    <xf numFmtId="0" fontId="15" fillId="3" borderId="7" xfId="0" applyFont="1" applyFill="1" applyBorder="1"/>
    <xf numFmtId="0" fontId="8" fillId="3" borderId="8" xfId="0" applyFont="1" applyFill="1" applyBorder="1"/>
    <xf numFmtId="0" fontId="8" fillId="3" borderId="9" xfId="0" applyFont="1" applyFill="1" applyBorder="1" applyAlignment="1">
      <alignment horizontal="right"/>
    </xf>
    <xf numFmtId="0" fontId="18" fillId="3" borderId="7" xfId="0" applyFont="1" applyFill="1" applyBorder="1"/>
    <xf numFmtId="0" fontId="18" fillId="3" borderId="1" xfId="0" applyFont="1" applyFill="1" applyBorder="1"/>
    <xf numFmtId="0" fontId="18" fillId="0" borderId="0" xfId="0" applyFont="1"/>
    <xf numFmtId="0" fontId="18" fillId="3" borderId="7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0" fillId="3" borderId="8" xfId="0" applyFont="1" applyFill="1" applyBorder="1" applyProtection="1">
      <protection locked="0"/>
    </xf>
    <xf numFmtId="0" fontId="10" fillId="3" borderId="10" xfId="0" applyFont="1" applyFill="1" applyBorder="1" applyProtection="1">
      <protection locked="0"/>
    </xf>
    <xf numFmtId="0" fontId="10" fillId="3" borderId="1" xfId="0" applyFont="1" applyFill="1" applyBorder="1" applyProtection="1">
      <protection locked="0"/>
    </xf>
    <xf numFmtId="17" fontId="18" fillId="0" borderId="12" xfId="0" applyNumberFormat="1" applyFont="1" applyBorder="1" applyAlignment="1">
      <alignment vertical="center" wrapText="1"/>
    </xf>
    <xf numFmtId="0" fontId="18" fillId="0" borderId="13" xfId="0" applyFont="1" applyBorder="1" applyAlignment="1">
      <alignment horizontal="right" vertical="center" wrapText="1"/>
    </xf>
    <xf numFmtId="165" fontId="18" fillId="0" borderId="11" xfId="1" applyNumberFormat="1" applyFont="1" applyBorder="1" applyAlignment="1">
      <alignment horizontal="center" vertical="center" wrapText="1"/>
    </xf>
    <xf numFmtId="165" fontId="18" fillId="0" borderId="11" xfId="2" applyNumberFormat="1" applyFont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7" xfId="0" applyBorder="1"/>
    <xf numFmtId="0" fontId="0" fillId="0" borderId="1" xfId="0" applyBorder="1"/>
    <xf numFmtId="17" fontId="18" fillId="0" borderId="7" xfId="0" applyNumberFormat="1" applyFont="1" applyBorder="1" applyAlignment="1">
      <alignment vertical="center" wrapText="1"/>
    </xf>
    <xf numFmtId="165" fontId="18" fillId="0" borderId="3" xfId="2" applyNumberFormat="1" applyFont="1" applyBorder="1" applyAlignment="1">
      <alignment horizontal="center" vertical="center" wrapText="1"/>
    </xf>
    <xf numFmtId="0" fontId="13" fillId="4" borderId="0" xfId="0" applyFont="1" applyFill="1" applyAlignment="1">
      <alignment horizontal="left" vertical="center"/>
    </xf>
    <xf numFmtId="165" fontId="6" fillId="0" borderId="3" xfId="2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right" vertical="center" wrapText="1"/>
    </xf>
    <xf numFmtId="0" fontId="6" fillId="0" borderId="0" xfId="0" applyFont="1"/>
    <xf numFmtId="164" fontId="0" fillId="0" borderId="0" xfId="1" applyNumberFormat="1" applyFont="1" applyAlignment="1">
      <alignment horizontal="right" vertical="center"/>
    </xf>
    <xf numFmtId="0" fontId="10" fillId="3" borderId="8" xfId="0" applyFont="1" applyFill="1" applyBorder="1" applyAlignment="1" applyProtection="1">
      <alignment vertical="center"/>
      <protection locked="0"/>
    </xf>
    <xf numFmtId="164" fontId="9" fillId="3" borderId="5" xfId="1" applyNumberFormat="1" applyFont="1" applyFill="1" applyBorder="1" applyAlignment="1">
      <alignment horizontal="right" vertical="center"/>
    </xf>
    <xf numFmtId="166" fontId="11" fillId="0" borderId="0" xfId="0" applyNumberFormat="1" applyFont="1"/>
    <xf numFmtId="0" fontId="6" fillId="0" borderId="15" xfId="1" applyNumberFormat="1" applyFont="1" applyFill="1" applyBorder="1" applyAlignment="1">
      <alignment horizontal="left" vertical="center" wrapText="1"/>
    </xf>
    <xf numFmtId="0" fontId="6" fillId="0" borderId="19" xfId="1" applyNumberFormat="1" applyFont="1" applyFill="1" applyBorder="1" applyAlignment="1">
      <alignment horizontal="left" vertical="center" wrapText="1"/>
    </xf>
    <xf numFmtId="17" fontId="6" fillId="0" borderId="6" xfId="0" applyNumberFormat="1" applyFont="1" applyBorder="1" applyAlignment="1">
      <alignment vertical="center" wrapText="1"/>
    </xf>
    <xf numFmtId="165" fontId="6" fillId="0" borderId="23" xfId="2" applyNumberFormat="1" applyFont="1" applyFill="1" applyBorder="1" applyAlignment="1">
      <alignment horizontal="center" vertical="center" wrapText="1"/>
    </xf>
    <xf numFmtId="17" fontId="6" fillId="0" borderId="24" xfId="0" applyNumberFormat="1" applyFont="1" applyBorder="1" applyAlignment="1">
      <alignment vertical="center" wrapText="1"/>
    </xf>
    <xf numFmtId="165" fontId="6" fillId="0" borderId="22" xfId="2" applyNumberFormat="1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165" fontId="6" fillId="0" borderId="21" xfId="2" applyNumberFormat="1" applyFont="1" applyFill="1" applyBorder="1" applyAlignment="1">
      <alignment horizontal="center" vertical="center" wrapText="1"/>
    </xf>
    <xf numFmtId="0" fontId="6" fillId="0" borderId="20" xfId="1" applyNumberFormat="1" applyFont="1" applyFill="1" applyBorder="1" applyAlignment="1">
      <alignment horizontal="left" vertical="center" wrapText="1"/>
    </xf>
    <xf numFmtId="0" fontId="6" fillId="0" borderId="17" xfId="1" applyNumberFormat="1" applyFont="1" applyFill="1" applyBorder="1" applyAlignment="1">
      <alignment horizontal="left" vertical="center" wrapText="1"/>
    </xf>
    <xf numFmtId="17" fontId="6" fillId="3" borderId="24" xfId="0" applyNumberFormat="1" applyFont="1" applyFill="1" applyBorder="1" applyAlignment="1">
      <alignment vertical="center" wrapText="1"/>
    </xf>
    <xf numFmtId="164" fontId="6" fillId="6" borderId="27" xfId="1" applyNumberFormat="1" applyFont="1" applyFill="1" applyBorder="1" applyAlignment="1">
      <alignment horizontal="left" vertical="center" wrapText="1"/>
    </xf>
    <xf numFmtId="164" fontId="6" fillId="6" borderId="31" xfId="1" applyNumberFormat="1" applyFont="1" applyFill="1" applyBorder="1" applyAlignment="1">
      <alignment horizontal="left" vertical="center" wrapText="1"/>
    </xf>
    <xf numFmtId="0" fontId="6" fillId="0" borderId="28" xfId="0" applyFont="1" applyBorder="1" applyAlignment="1">
      <alignment vertical="center" wrapText="1"/>
    </xf>
    <xf numFmtId="165" fontId="6" fillId="0" borderId="32" xfId="2" applyNumberFormat="1" applyFont="1" applyFill="1" applyBorder="1" applyAlignment="1">
      <alignment horizontal="center" vertical="center" wrapText="1"/>
    </xf>
    <xf numFmtId="165" fontId="18" fillId="0" borderId="0" xfId="2" applyNumberFormat="1" applyFont="1" applyAlignment="1">
      <alignment vertical="center"/>
    </xf>
    <xf numFmtId="165" fontId="18" fillId="0" borderId="11" xfId="1" applyNumberFormat="1" applyFont="1" applyFill="1" applyBorder="1" applyAlignment="1">
      <alignment horizontal="center" vertical="center" wrapText="1"/>
    </xf>
    <xf numFmtId="165" fontId="15" fillId="0" borderId="0" xfId="2" applyNumberFormat="1" applyFont="1"/>
    <xf numFmtId="167" fontId="15" fillId="0" borderId="0" xfId="0" applyNumberFormat="1" applyFont="1"/>
    <xf numFmtId="9" fontId="18" fillId="0" borderId="0" xfId="0" applyNumberFormat="1" applyFont="1"/>
    <xf numFmtId="165" fontId="18" fillId="0" borderId="0" xfId="0" applyNumberFormat="1" applyFont="1"/>
    <xf numFmtId="168" fontId="18" fillId="0" borderId="0" xfId="0" applyNumberFormat="1" applyFont="1"/>
    <xf numFmtId="167" fontId="0" fillId="0" borderId="0" xfId="0" applyNumberFormat="1"/>
    <xf numFmtId="169" fontId="18" fillId="0" borderId="0" xfId="0" applyNumberFormat="1" applyFont="1"/>
    <xf numFmtId="165" fontId="18" fillId="0" borderId="0" xfId="0" applyNumberFormat="1" applyFont="1" applyAlignment="1">
      <alignment vertical="center"/>
    </xf>
    <xf numFmtId="0" fontId="6" fillId="0" borderId="30" xfId="0" applyFont="1" applyBorder="1" applyAlignment="1">
      <alignment horizontal="left" vertical="center" wrapText="1"/>
    </xf>
    <xf numFmtId="165" fontId="6" fillId="0" borderId="17" xfId="2" applyNumberFormat="1" applyFont="1" applyFill="1" applyBorder="1" applyAlignment="1">
      <alignment horizontal="center" vertical="center" wrapText="1"/>
    </xf>
    <xf numFmtId="0" fontId="6" fillId="0" borderId="23" xfId="1" applyNumberFormat="1" applyFont="1" applyFill="1" applyBorder="1" applyAlignment="1">
      <alignment horizontal="left" vertical="center" wrapText="1"/>
    </xf>
    <xf numFmtId="164" fontId="19" fillId="0" borderId="17" xfId="1" applyNumberFormat="1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vertical="center" wrapText="1"/>
    </xf>
    <xf numFmtId="164" fontId="19" fillId="0" borderId="34" xfId="1" applyNumberFormat="1" applyFont="1" applyFill="1" applyBorder="1" applyAlignment="1">
      <alignment horizontal="left" vertical="center" wrapText="1"/>
    </xf>
    <xf numFmtId="164" fontId="6" fillId="6" borderId="36" xfId="1" applyNumberFormat="1" applyFont="1" applyFill="1" applyBorder="1" applyAlignment="1">
      <alignment horizontal="left" vertical="center" wrapText="1"/>
    </xf>
    <xf numFmtId="0" fontId="6" fillId="0" borderId="22" xfId="1" applyNumberFormat="1" applyFont="1" applyFill="1" applyBorder="1" applyAlignment="1">
      <alignment horizontal="left" vertical="center" wrapText="1"/>
    </xf>
    <xf numFmtId="165" fontId="6" fillId="0" borderId="24" xfId="2" applyNumberFormat="1" applyFont="1" applyFill="1" applyBorder="1" applyAlignment="1">
      <alignment horizontal="center" vertical="center" wrapText="1"/>
    </xf>
    <xf numFmtId="165" fontId="6" fillId="0" borderId="7" xfId="2" applyNumberFormat="1" applyFont="1" applyFill="1" applyBorder="1" applyAlignment="1">
      <alignment horizontal="center" vertical="center" wrapText="1"/>
    </xf>
    <xf numFmtId="0" fontId="6" fillId="0" borderId="25" xfId="1" applyNumberFormat="1" applyFont="1" applyFill="1" applyBorder="1" applyAlignment="1">
      <alignment horizontal="left" vertical="center" wrapText="1"/>
    </xf>
    <xf numFmtId="165" fontId="18" fillId="0" borderId="35" xfId="1" applyNumberFormat="1" applyFont="1" applyFill="1" applyBorder="1" applyAlignment="1">
      <alignment horizontal="center" vertical="center" wrapText="1"/>
    </xf>
    <xf numFmtId="0" fontId="6" fillId="0" borderId="10" xfId="1" applyNumberFormat="1" applyFont="1" applyFill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165" fontId="6" fillId="6" borderId="26" xfId="1" applyNumberFormat="1" applyFont="1" applyFill="1" applyBorder="1" applyAlignment="1">
      <alignment horizontal="left" vertical="center" wrapText="1"/>
    </xf>
    <xf numFmtId="17" fontId="6" fillId="6" borderId="24" xfId="0" applyNumberFormat="1" applyFont="1" applyFill="1" applyBorder="1" applyAlignment="1">
      <alignment vertical="center" wrapText="1"/>
    </xf>
    <xf numFmtId="9" fontId="6" fillId="6" borderId="24" xfId="0" applyNumberFormat="1" applyFont="1" applyFill="1" applyBorder="1" applyAlignment="1">
      <alignment horizontal="left" vertical="center" wrapText="1"/>
    </xf>
    <xf numFmtId="0" fontId="6" fillId="0" borderId="0" xfId="8" applyAlignment="1">
      <alignment vertical="center"/>
    </xf>
    <xf numFmtId="0" fontId="23" fillId="0" borderId="2" xfId="8" applyFont="1" applyBorder="1" applyAlignment="1">
      <alignment horizontal="center" vertical="center"/>
    </xf>
    <xf numFmtId="0" fontId="24" fillId="0" borderId="5" xfId="8" applyFont="1" applyBorder="1" applyAlignment="1">
      <alignment vertical="center" wrapText="1"/>
    </xf>
    <xf numFmtId="0" fontId="23" fillId="0" borderId="4" xfId="8" applyFont="1" applyBorder="1" applyAlignment="1">
      <alignment vertical="center"/>
    </xf>
    <xf numFmtId="0" fontId="23" fillId="0" borderId="1" xfId="8" applyFont="1" applyBorder="1" applyAlignment="1">
      <alignment horizontal="center" vertical="center"/>
    </xf>
    <xf numFmtId="0" fontId="24" fillId="0" borderId="0" xfId="8" applyFont="1" applyAlignment="1">
      <alignment vertical="center" wrapText="1"/>
    </xf>
    <xf numFmtId="0" fontId="23" fillId="0" borderId="7" xfId="8" applyFont="1" applyBorder="1" applyAlignment="1">
      <alignment vertical="center"/>
    </xf>
    <xf numFmtId="0" fontId="24" fillId="0" borderId="0" xfId="8" applyFont="1" applyAlignment="1">
      <alignment vertical="center"/>
    </xf>
    <xf numFmtId="0" fontId="23" fillId="0" borderId="2" xfId="8" applyFont="1" applyBorder="1" applyAlignment="1">
      <alignment vertical="center"/>
    </xf>
    <xf numFmtId="0" fontId="23" fillId="0" borderId="5" xfId="8" applyFont="1" applyBorder="1" applyAlignment="1">
      <alignment vertical="center"/>
    </xf>
    <xf numFmtId="0" fontId="24" fillId="0" borderId="4" xfId="8" applyFont="1" applyBorder="1" applyAlignment="1">
      <alignment vertical="center"/>
    </xf>
    <xf numFmtId="9" fontId="23" fillId="0" borderId="1" xfId="8" applyNumberFormat="1" applyFont="1" applyBorder="1" applyAlignment="1">
      <alignment vertical="center"/>
    </xf>
    <xf numFmtId="0" fontId="23" fillId="0" borderId="0" xfId="8" applyFont="1" applyAlignment="1">
      <alignment vertical="center"/>
    </xf>
    <xf numFmtId="9" fontId="23" fillId="0" borderId="0" xfId="8" applyNumberFormat="1" applyFont="1" applyAlignment="1">
      <alignment vertical="center"/>
    </xf>
    <xf numFmtId="0" fontId="15" fillId="0" borderId="0" xfId="8" applyFont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7" xfId="8" applyFont="1" applyBorder="1" applyAlignment="1">
      <alignment vertical="center"/>
    </xf>
    <xf numFmtId="0" fontId="22" fillId="0" borderId="25" xfId="1" applyNumberFormat="1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vertical="center" wrapText="1"/>
    </xf>
    <xf numFmtId="164" fontId="6" fillId="6" borderId="18" xfId="1" applyNumberFormat="1" applyFont="1" applyFill="1" applyBorder="1" applyAlignment="1">
      <alignment horizontal="left" vertical="center" wrapText="1"/>
    </xf>
    <xf numFmtId="0" fontId="6" fillId="3" borderId="7" xfId="0" applyFont="1" applyFill="1" applyBorder="1"/>
    <xf numFmtId="0" fontId="6" fillId="3" borderId="1" xfId="0" applyFont="1" applyFill="1" applyBorder="1"/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3" borderId="22" xfId="0" applyFont="1" applyFill="1" applyBorder="1" applyAlignment="1">
      <alignment vertical="center"/>
    </xf>
    <xf numFmtId="164" fontId="6" fillId="6" borderId="26" xfId="1" applyNumberFormat="1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165" fontId="6" fillId="6" borderId="26" xfId="2" applyNumberFormat="1" applyFont="1" applyFill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164" fontId="6" fillId="6" borderId="37" xfId="1" applyNumberFormat="1" applyFont="1" applyFill="1" applyBorder="1" applyAlignment="1">
      <alignment horizontal="left" vertical="center" wrapText="1"/>
    </xf>
    <xf numFmtId="9" fontId="6" fillId="6" borderId="18" xfId="2" applyFont="1" applyFill="1" applyBorder="1" applyAlignment="1">
      <alignment horizontal="left" vertical="center" wrapText="1"/>
    </xf>
    <xf numFmtId="17" fontId="18" fillId="0" borderId="12" xfId="0" applyNumberFormat="1" applyFont="1" applyBorder="1" applyAlignment="1">
      <alignment vertical="center"/>
    </xf>
    <xf numFmtId="0" fontId="6" fillId="0" borderId="7" xfId="0" applyFont="1" applyBorder="1"/>
    <xf numFmtId="0" fontId="6" fillId="0" borderId="1" xfId="0" applyFont="1" applyBorder="1"/>
    <xf numFmtId="17" fontId="6" fillId="0" borderId="24" xfId="0" applyNumberFormat="1" applyFont="1" applyBorder="1" applyAlignment="1">
      <alignment vertical="center"/>
    </xf>
    <xf numFmtId="165" fontId="6" fillId="0" borderId="38" xfId="2" applyNumberFormat="1" applyFont="1" applyFill="1" applyBorder="1" applyAlignment="1">
      <alignment horizontal="center" vertical="center" wrapText="1"/>
    </xf>
    <xf numFmtId="164" fontId="6" fillId="6" borderId="39" xfId="1" applyNumberFormat="1" applyFont="1" applyFill="1" applyBorder="1" applyAlignment="1">
      <alignment horizontal="left" vertical="center" wrapText="1"/>
    </xf>
    <xf numFmtId="164" fontId="19" fillId="0" borderId="40" xfId="1" applyNumberFormat="1" applyFont="1" applyFill="1" applyBorder="1" applyAlignment="1">
      <alignment horizontal="left" vertical="center" wrapText="1"/>
    </xf>
    <xf numFmtId="0" fontId="6" fillId="0" borderId="3" xfId="1" applyNumberFormat="1" applyFont="1" applyFill="1" applyBorder="1" applyAlignment="1">
      <alignment horizontal="left" vertical="center" wrapText="1"/>
    </xf>
    <xf numFmtId="17" fontId="6" fillId="3" borderId="24" xfId="0" applyNumberFormat="1" applyFont="1" applyFill="1" applyBorder="1" applyAlignment="1">
      <alignment vertical="center"/>
    </xf>
    <xf numFmtId="1" fontId="6" fillId="0" borderId="0" xfId="0" applyNumberFormat="1" applyFont="1"/>
    <xf numFmtId="17" fontId="18" fillId="0" borderId="7" xfId="0" applyNumberFormat="1" applyFont="1" applyBorder="1" applyAlignment="1">
      <alignment vertical="center"/>
    </xf>
    <xf numFmtId="0" fontId="21" fillId="0" borderId="28" xfId="0" applyFont="1" applyBorder="1" applyAlignment="1">
      <alignment vertical="center" wrapText="1"/>
    </xf>
    <xf numFmtId="164" fontId="6" fillId="6" borderId="32" xfId="1" applyNumberFormat="1" applyFont="1" applyFill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9" fontId="6" fillId="0" borderId="0" xfId="0" applyNumberFormat="1" applyFont="1"/>
    <xf numFmtId="165" fontId="6" fillId="0" borderId="0" xfId="2" applyNumberFormat="1" applyFont="1" applyAlignment="1">
      <alignment vertical="center"/>
    </xf>
    <xf numFmtId="0" fontId="6" fillId="0" borderId="42" xfId="1" applyNumberFormat="1" applyFont="1" applyFill="1" applyBorder="1" applyAlignment="1">
      <alignment horizontal="left" vertical="center" wrapText="1"/>
    </xf>
    <xf numFmtId="0" fontId="6" fillId="0" borderId="43" xfId="0" applyFont="1" applyBorder="1" applyAlignment="1">
      <alignment vertical="center" wrapText="1"/>
    </xf>
    <xf numFmtId="165" fontId="6" fillId="0" borderId="43" xfId="2" applyNumberFormat="1" applyFont="1" applyFill="1" applyBorder="1" applyAlignment="1">
      <alignment horizontal="center" vertical="center" wrapText="1"/>
    </xf>
    <xf numFmtId="164" fontId="6" fillId="6" borderId="21" xfId="1" applyNumberFormat="1" applyFont="1" applyFill="1" applyBorder="1" applyAlignment="1">
      <alignment horizontal="left" vertical="center" wrapText="1"/>
    </xf>
    <xf numFmtId="165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17" fontId="6" fillId="0" borderId="41" xfId="0" applyNumberFormat="1" applyFont="1" applyBorder="1" applyAlignment="1">
      <alignment vertical="center" wrapText="1"/>
    </xf>
    <xf numFmtId="9" fontId="6" fillId="0" borderId="0" xfId="2" applyFont="1"/>
    <xf numFmtId="0" fontId="6" fillId="0" borderId="32" xfId="1" applyNumberFormat="1" applyFont="1" applyFill="1" applyBorder="1" applyAlignment="1">
      <alignment horizontal="left" vertical="center" wrapText="1"/>
    </xf>
    <xf numFmtId="164" fontId="6" fillId="6" borderId="22" xfId="1" applyNumberFormat="1" applyFont="1" applyFill="1" applyBorder="1" applyAlignment="1">
      <alignment horizontal="left" vertical="center" wrapText="1"/>
    </xf>
    <xf numFmtId="0" fontId="6" fillId="0" borderId="1" xfId="1" applyNumberFormat="1" applyFont="1" applyFill="1" applyBorder="1" applyAlignment="1">
      <alignment horizontal="left" vertical="center" wrapText="1"/>
    </xf>
    <xf numFmtId="0" fontId="6" fillId="0" borderId="36" xfId="1" applyNumberFormat="1" applyFont="1" applyFill="1" applyBorder="1" applyAlignment="1">
      <alignment horizontal="left" vertical="center" wrapText="1"/>
    </xf>
    <xf numFmtId="0" fontId="6" fillId="0" borderId="0" xfId="2" applyNumberFormat="1" applyFont="1"/>
    <xf numFmtId="164" fontId="6" fillId="6" borderId="23" xfId="1" applyNumberFormat="1" applyFont="1" applyFill="1" applyBorder="1" applyAlignment="1">
      <alignment horizontal="left" vertical="center" wrapText="1"/>
    </xf>
    <xf numFmtId="164" fontId="6" fillId="6" borderId="41" xfId="1" applyNumberFormat="1" applyFont="1" applyFill="1" applyBorder="1" applyAlignment="1">
      <alignment horizontal="left" vertical="center" wrapText="1"/>
    </xf>
    <xf numFmtId="0" fontId="21" fillId="3" borderId="22" xfId="0" applyFont="1" applyFill="1" applyBorder="1" applyAlignment="1">
      <alignment vertical="center" wrapText="1"/>
    </xf>
    <xf numFmtId="17" fontId="21" fillId="0" borderId="6" xfId="0" applyNumberFormat="1" applyFont="1" applyBorder="1" applyAlignment="1">
      <alignment vertical="center"/>
    </xf>
    <xf numFmtId="0" fontId="6" fillId="6" borderId="26" xfId="1" applyNumberFormat="1" applyFont="1" applyFill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17" fontId="6" fillId="0" borderId="6" xfId="0" applyNumberFormat="1" applyFont="1" applyBorder="1" applyAlignment="1">
      <alignment vertical="center"/>
    </xf>
    <xf numFmtId="0" fontId="6" fillId="0" borderId="42" xfId="0" applyFont="1" applyBorder="1" applyAlignment="1">
      <alignment horizontal="center" vertical="center" wrapText="1"/>
    </xf>
    <xf numFmtId="165" fontId="6" fillId="6" borderId="41" xfId="2" applyNumberFormat="1" applyFont="1" applyFill="1" applyBorder="1" applyAlignment="1">
      <alignment horizontal="left" vertical="center" wrapText="1"/>
    </xf>
    <xf numFmtId="0" fontId="27" fillId="0" borderId="0" xfId="0" applyFont="1"/>
    <xf numFmtId="0" fontId="7" fillId="3" borderId="6" xfId="5" applyFont="1" applyFill="1" applyBorder="1"/>
    <xf numFmtId="0" fontId="8" fillId="3" borderId="8" xfId="5" applyFont="1" applyFill="1" applyBorder="1"/>
    <xf numFmtId="0" fontId="8" fillId="3" borderId="9" xfId="5" applyFont="1" applyFill="1" applyBorder="1" applyAlignment="1">
      <alignment horizontal="right"/>
    </xf>
    <xf numFmtId="0" fontId="10" fillId="3" borderId="8" xfId="5" applyFont="1" applyFill="1" applyBorder="1" applyProtection="1">
      <protection locked="0"/>
    </xf>
    <xf numFmtId="0" fontId="10" fillId="3" borderId="10" xfId="5" applyFont="1" applyFill="1" applyBorder="1" applyProtection="1">
      <protection locked="0"/>
    </xf>
    <xf numFmtId="0" fontId="11" fillId="3" borderId="7" xfId="5" applyFont="1" applyFill="1" applyBorder="1"/>
    <xf numFmtId="0" fontId="10" fillId="3" borderId="1" xfId="5" applyFont="1" applyFill="1" applyBorder="1" applyProtection="1">
      <protection locked="0"/>
    </xf>
    <xf numFmtId="0" fontId="15" fillId="3" borderId="7" xfId="5" applyFont="1" applyFill="1" applyBorder="1"/>
    <xf numFmtId="9" fontId="16" fillId="5" borderId="12" xfId="10" applyFont="1" applyFill="1" applyBorder="1" applyAlignment="1">
      <alignment vertical="center" wrapText="1"/>
    </xf>
    <xf numFmtId="9" fontId="16" fillId="5" borderId="9" xfId="10" applyFont="1" applyFill="1" applyBorder="1" applyAlignment="1">
      <alignment vertical="center" wrapText="1"/>
    </xf>
    <xf numFmtId="9" fontId="16" fillId="5" borderId="13" xfId="10" applyFont="1" applyFill="1" applyBorder="1" applyAlignment="1">
      <alignment vertical="center" wrapText="1"/>
    </xf>
    <xf numFmtId="0" fontId="5" fillId="3" borderId="7" xfId="5" applyFill="1" applyBorder="1"/>
    <xf numFmtId="0" fontId="18" fillId="0" borderId="5" xfId="5" applyFont="1" applyBorder="1" applyAlignment="1">
      <alignment horizontal="center" vertical="center" wrapText="1"/>
    </xf>
    <xf numFmtId="0" fontId="5" fillId="3" borderId="3" xfId="5" applyFill="1" applyBorder="1"/>
    <xf numFmtId="0" fontId="5" fillId="3" borderId="1" xfId="5" applyFill="1" applyBorder="1"/>
    <xf numFmtId="0" fontId="18" fillId="3" borderId="7" xfId="5" applyFont="1" applyFill="1" applyBorder="1" applyAlignment="1">
      <alignment vertical="center"/>
    </xf>
    <xf numFmtId="0" fontId="18" fillId="3" borderId="1" xfId="5" applyFont="1" applyFill="1" applyBorder="1" applyAlignment="1">
      <alignment vertical="center"/>
    </xf>
    <xf numFmtId="9" fontId="16" fillId="5" borderId="10" xfId="10" applyFont="1" applyFill="1" applyBorder="1" applyAlignment="1">
      <alignment vertical="center" wrapText="1"/>
    </xf>
    <xf numFmtId="0" fontId="15" fillId="3" borderId="1" xfId="5" applyFont="1" applyFill="1" applyBorder="1"/>
    <xf numFmtId="0" fontId="18" fillId="3" borderId="7" xfId="5" applyFont="1" applyFill="1" applyBorder="1"/>
    <xf numFmtId="0" fontId="18" fillId="3" borderId="1" xfId="5" applyFont="1" applyFill="1" applyBorder="1"/>
    <xf numFmtId="0" fontId="18" fillId="3" borderId="4" xfId="5" applyFont="1" applyFill="1" applyBorder="1"/>
    <xf numFmtId="0" fontId="18" fillId="3" borderId="2" xfId="5" applyFont="1" applyFill="1" applyBorder="1"/>
    <xf numFmtId="0" fontId="15" fillId="3" borderId="6" xfId="5" applyFont="1" applyFill="1" applyBorder="1"/>
    <xf numFmtId="9" fontId="16" fillId="5" borderId="6" xfId="10" applyFont="1" applyFill="1" applyBorder="1" applyAlignment="1">
      <alignment vertical="center" wrapText="1"/>
    </xf>
    <xf numFmtId="9" fontId="16" fillId="5" borderId="8" xfId="10" applyFont="1" applyFill="1" applyBorder="1" applyAlignment="1">
      <alignment vertical="center" wrapText="1"/>
    </xf>
    <xf numFmtId="0" fontId="15" fillId="3" borderId="10" xfId="5" applyFont="1" applyFill="1" applyBorder="1"/>
    <xf numFmtId="17" fontId="18" fillId="0" borderId="6" xfId="5" applyNumberFormat="1" applyFont="1" applyBorder="1" applyAlignment="1">
      <alignment vertical="center" wrapText="1"/>
    </xf>
    <xf numFmtId="165" fontId="18" fillId="0" borderId="45" xfId="10" applyNumberFormat="1" applyFont="1" applyFill="1" applyBorder="1" applyAlignment="1">
      <alignment horizontal="center" vertical="center" wrapText="1"/>
    </xf>
    <xf numFmtId="164" fontId="18" fillId="2" borderId="46" xfId="9" applyNumberFormat="1" applyFont="1" applyFill="1" applyBorder="1" applyAlignment="1">
      <alignment vertical="center" wrapText="1"/>
    </xf>
    <xf numFmtId="164" fontId="18" fillId="2" borderId="47" xfId="9" applyNumberFormat="1" applyFont="1" applyFill="1" applyBorder="1" applyAlignment="1">
      <alignment vertical="center" wrapText="1"/>
    </xf>
    <xf numFmtId="164" fontId="33" fillId="3" borderId="48" xfId="9" applyNumberFormat="1" applyFont="1" applyFill="1" applyBorder="1" applyAlignment="1">
      <alignment vertical="center" wrapText="1"/>
    </xf>
    <xf numFmtId="164" fontId="33" fillId="3" borderId="47" xfId="9" applyNumberFormat="1" applyFont="1" applyFill="1" applyBorder="1" applyAlignment="1">
      <alignment vertical="center" wrapText="1"/>
    </xf>
    <xf numFmtId="0" fontId="18" fillId="0" borderId="45" xfId="5" applyFont="1" applyBorder="1" applyAlignment="1">
      <alignment horizontal="right" vertical="center" wrapText="1"/>
    </xf>
    <xf numFmtId="0" fontId="7" fillId="3" borderId="4" xfId="5" applyFont="1" applyFill="1" applyBorder="1"/>
    <xf numFmtId="0" fontId="8" fillId="3" borderId="5" xfId="5" applyFont="1" applyFill="1" applyBorder="1"/>
    <xf numFmtId="0" fontId="8" fillId="3" borderId="5" xfId="5" applyFont="1" applyFill="1" applyBorder="1" applyAlignment="1">
      <alignment horizontal="right"/>
    </xf>
    <xf numFmtId="164" fontId="9" fillId="3" borderId="5" xfId="9" applyNumberFormat="1" applyFont="1" applyFill="1" applyBorder="1" applyAlignment="1">
      <alignment horizontal="right"/>
    </xf>
    <xf numFmtId="0" fontId="9" fillId="3" borderId="5" xfId="5" applyFont="1" applyFill="1" applyBorder="1" applyAlignment="1">
      <alignment horizontal="right"/>
    </xf>
    <xf numFmtId="0" fontId="10" fillId="3" borderId="5" xfId="5" applyFont="1" applyFill="1" applyBorder="1" applyAlignment="1" applyProtection="1">
      <alignment horizontal="right"/>
      <protection locked="0"/>
    </xf>
    <xf numFmtId="0" fontId="7" fillId="3" borderId="2" xfId="5" applyFont="1" applyFill="1" applyBorder="1"/>
    <xf numFmtId="10" fontId="31" fillId="0" borderId="32" xfId="0" applyNumberFormat="1" applyFont="1" applyBorder="1" applyAlignment="1">
      <alignment horizontal="center" vertical="center" wrapText="1" readingOrder="1"/>
    </xf>
    <xf numFmtId="10" fontId="31" fillId="0" borderId="22" xfId="0" applyNumberFormat="1" applyFont="1" applyBorder="1" applyAlignment="1">
      <alignment horizontal="center" vertical="center" wrapText="1" readingOrder="1"/>
    </xf>
    <xf numFmtId="0" fontId="28" fillId="0" borderId="2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7" xfId="5" applyFont="1" applyBorder="1" applyAlignment="1">
      <alignment vertical="center" wrapText="1"/>
    </xf>
    <xf numFmtId="0" fontId="18" fillId="0" borderId="23" xfId="5" applyFont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17" fontId="15" fillId="0" borderId="4" xfId="5" applyNumberFormat="1" applyFont="1" applyBorder="1" applyAlignment="1">
      <alignment vertical="center" wrapText="1"/>
    </xf>
    <xf numFmtId="165" fontId="18" fillId="0" borderId="35" xfId="10" applyNumberFormat="1" applyFont="1" applyFill="1" applyBorder="1" applyAlignment="1">
      <alignment horizontal="center" vertical="center" wrapText="1"/>
    </xf>
    <xf numFmtId="164" fontId="18" fillId="2" borderId="4" xfId="9" applyNumberFormat="1" applyFont="1" applyFill="1" applyBorder="1" applyAlignment="1">
      <alignment vertical="center" wrapText="1"/>
    </xf>
    <xf numFmtId="164" fontId="18" fillId="2" borderId="5" xfId="9" applyNumberFormat="1" applyFont="1" applyFill="1" applyBorder="1" applyAlignment="1">
      <alignment vertical="center" wrapText="1"/>
    </xf>
    <xf numFmtId="164" fontId="18" fillId="2" borderId="2" xfId="9" applyNumberFormat="1" applyFont="1" applyFill="1" applyBorder="1" applyAlignment="1">
      <alignment vertical="center" wrapText="1"/>
    </xf>
    <xf numFmtId="0" fontId="18" fillId="0" borderId="2" xfId="5" applyFont="1" applyBorder="1" applyAlignment="1">
      <alignment horizontal="right" vertical="center" wrapText="1"/>
    </xf>
    <xf numFmtId="17" fontId="18" fillId="0" borderId="4" xfId="5" applyNumberFormat="1" applyFont="1" applyBorder="1" applyAlignment="1">
      <alignment vertical="center" wrapText="1"/>
    </xf>
    <xf numFmtId="165" fontId="18" fillId="0" borderId="35" xfId="9" applyNumberFormat="1" applyFont="1" applyFill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0" fontId="18" fillId="0" borderId="3" xfId="5" applyFont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 wrapText="1"/>
    </xf>
    <xf numFmtId="9" fontId="15" fillId="0" borderId="49" xfId="0" applyNumberFormat="1" applyFont="1" applyBorder="1" applyAlignment="1">
      <alignment horizontal="center" vertical="center" wrapText="1" readingOrder="1"/>
    </xf>
    <xf numFmtId="164" fontId="18" fillId="2" borderId="39" xfId="1" applyNumberFormat="1" applyFont="1" applyFill="1" applyBorder="1" applyAlignment="1">
      <alignment horizontal="center" vertical="center" wrapText="1"/>
    </xf>
    <xf numFmtId="164" fontId="18" fillId="2" borderId="0" xfId="9" applyNumberFormat="1" applyFont="1" applyFill="1" applyBorder="1" applyAlignment="1">
      <alignment vertical="center" wrapText="1"/>
    </xf>
    <xf numFmtId="164" fontId="18" fillId="2" borderId="1" xfId="9" applyNumberFormat="1" applyFont="1" applyFill="1" applyBorder="1" applyAlignment="1">
      <alignment vertical="center" wrapText="1"/>
    </xf>
    <xf numFmtId="165" fontId="18" fillId="0" borderId="3" xfId="9" applyNumberFormat="1" applyFont="1" applyFill="1" applyBorder="1" applyAlignment="1">
      <alignment horizontal="center" vertical="center" wrapText="1"/>
    </xf>
    <xf numFmtId="0" fontId="18" fillId="0" borderId="1" xfId="5" applyFont="1" applyBorder="1" applyAlignment="1">
      <alignment horizontal="right" vertical="center" wrapText="1"/>
    </xf>
    <xf numFmtId="0" fontId="18" fillId="0" borderId="6" xfId="0" applyFont="1" applyBorder="1" applyAlignment="1">
      <alignment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7" fontId="18" fillId="0" borderId="4" xfId="0" applyNumberFormat="1" applyFont="1" applyBorder="1" applyAlignment="1">
      <alignment vertical="center" wrapText="1"/>
    </xf>
    <xf numFmtId="165" fontId="18" fillId="0" borderId="35" xfId="2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right" vertical="center" wrapText="1"/>
    </xf>
    <xf numFmtId="0" fontId="6" fillId="3" borderId="32" xfId="0" applyFont="1" applyFill="1" applyBorder="1" applyAlignment="1">
      <alignment vertical="center" wrapText="1"/>
    </xf>
    <xf numFmtId="17" fontId="6" fillId="0" borderId="32" xfId="0" applyNumberFormat="1" applyFont="1" applyBorder="1" applyAlignment="1">
      <alignment vertical="center" wrapText="1"/>
    </xf>
    <xf numFmtId="17" fontId="21" fillId="0" borderId="22" xfId="0" applyNumberFormat="1" applyFont="1" applyBorder="1" applyAlignment="1">
      <alignment vertical="center" wrapText="1"/>
    </xf>
    <xf numFmtId="17" fontId="6" fillId="0" borderId="22" xfId="0" applyNumberFormat="1" applyFont="1" applyBorder="1" applyAlignment="1">
      <alignment vertical="center" wrapText="1"/>
    </xf>
    <xf numFmtId="17" fontId="6" fillId="3" borderId="22" xfId="0" applyNumberFormat="1" applyFont="1" applyFill="1" applyBorder="1" applyAlignment="1">
      <alignment vertical="center" wrapText="1"/>
    </xf>
    <xf numFmtId="17" fontId="21" fillId="0" borderId="21" xfId="0" applyNumberFormat="1" applyFont="1" applyBorder="1" applyAlignment="1">
      <alignment vertical="center" wrapText="1"/>
    </xf>
    <xf numFmtId="165" fontId="18" fillId="0" borderId="35" xfId="1" applyNumberFormat="1" applyFont="1" applyBorder="1" applyAlignment="1">
      <alignment horizontal="center" vertical="center" wrapText="1"/>
    </xf>
    <xf numFmtId="17" fontId="21" fillId="0" borderId="32" xfId="0" applyNumberFormat="1" applyFont="1" applyBorder="1" applyAlignment="1">
      <alignment vertical="center" wrapText="1"/>
    </xf>
    <xf numFmtId="9" fontId="6" fillId="6" borderId="22" xfId="0" applyNumberFormat="1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center" vertical="center" wrapText="1"/>
    </xf>
    <xf numFmtId="164" fontId="6" fillId="6" borderId="24" xfId="1" applyNumberFormat="1" applyFont="1" applyFill="1" applyBorder="1" applyAlignment="1">
      <alignment horizontal="left" vertical="center" wrapText="1"/>
    </xf>
    <xf numFmtId="165" fontId="6" fillId="0" borderId="25" xfId="2" applyNumberFormat="1" applyFont="1" applyFill="1" applyBorder="1" applyAlignment="1">
      <alignment horizontal="center" vertical="center" wrapText="1"/>
    </xf>
    <xf numFmtId="164" fontId="6" fillId="6" borderId="28" xfId="1" applyNumberFormat="1" applyFont="1" applyFill="1" applyBorder="1" applyAlignment="1">
      <alignment horizontal="left" vertical="center" wrapText="1"/>
    </xf>
    <xf numFmtId="164" fontId="6" fillId="6" borderId="44" xfId="1" applyNumberFormat="1" applyFont="1" applyFill="1" applyBorder="1" applyAlignment="1">
      <alignment horizontal="left" vertical="center" wrapText="1"/>
    </xf>
    <xf numFmtId="0" fontId="6" fillId="0" borderId="21" xfId="1" applyNumberFormat="1" applyFont="1" applyFill="1" applyBorder="1" applyAlignment="1">
      <alignment horizontal="left" vertical="center" wrapText="1"/>
    </xf>
    <xf numFmtId="164" fontId="6" fillId="6" borderId="8" xfId="1" applyNumberFormat="1" applyFont="1" applyFill="1" applyBorder="1" applyAlignment="1">
      <alignment horizontal="justify" vertical="center" wrapText="1"/>
    </xf>
    <xf numFmtId="164" fontId="6" fillId="6" borderId="50" xfId="1" applyNumberFormat="1" applyFont="1" applyFill="1" applyBorder="1" applyAlignment="1">
      <alignment horizontal="left" vertical="center" wrapText="1"/>
    </xf>
    <xf numFmtId="164" fontId="19" fillId="0" borderId="23" xfId="1" applyNumberFormat="1" applyFont="1" applyFill="1" applyBorder="1" applyAlignment="1">
      <alignment horizontal="left" vertical="center" wrapText="1"/>
    </xf>
    <xf numFmtId="164" fontId="19" fillId="0" borderId="22" xfId="1" applyNumberFormat="1" applyFont="1" applyFill="1" applyBorder="1" applyAlignment="1">
      <alignment horizontal="left" vertical="center" wrapText="1"/>
    </xf>
    <xf numFmtId="164" fontId="19" fillId="0" borderId="35" xfId="1" applyNumberFormat="1" applyFont="1" applyFill="1" applyBorder="1" applyAlignment="1">
      <alignment horizontal="left" vertical="center" wrapText="1"/>
    </xf>
    <xf numFmtId="165" fontId="6" fillId="6" borderId="41" xfId="1" applyNumberFormat="1" applyFont="1" applyFill="1" applyBorder="1" applyAlignment="1">
      <alignment horizontal="left" vertical="center" wrapText="1"/>
    </xf>
    <xf numFmtId="165" fontId="6" fillId="0" borderId="50" xfId="2" applyNumberFormat="1" applyFont="1" applyFill="1" applyBorder="1" applyAlignment="1">
      <alignment horizontal="center" vertical="center" wrapText="1"/>
    </xf>
    <xf numFmtId="164" fontId="6" fillId="6" borderId="7" xfId="1" applyNumberFormat="1" applyFont="1" applyFill="1" applyBorder="1" applyAlignment="1">
      <alignment horizontal="left" vertical="center" wrapText="1"/>
    </xf>
    <xf numFmtId="165" fontId="6" fillId="0" borderId="51" xfId="2" applyNumberFormat="1" applyFont="1" applyFill="1" applyBorder="1" applyAlignment="1">
      <alignment horizontal="center" vertical="center" wrapText="1"/>
    </xf>
    <xf numFmtId="165" fontId="6" fillId="0" borderId="0" xfId="2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65" fontId="6" fillId="0" borderId="32" xfId="10" applyNumberFormat="1" applyFont="1" applyFill="1" applyBorder="1" applyAlignment="1">
      <alignment horizontal="center" vertical="center" wrapText="1"/>
    </xf>
    <xf numFmtId="165" fontId="6" fillId="0" borderId="22" xfId="10" applyNumberFormat="1" applyFont="1" applyFill="1" applyBorder="1" applyAlignment="1">
      <alignment horizontal="center" vertical="center" wrapText="1"/>
    </xf>
    <xf numFmtId="165" fontId="6" fillId="0" borderId="21" xfId="10" applyNumberFormat="1" applyFont="1" applyFill="1" applyBorder="1" applyAlignment="1">
      <alignment horizontal="center" vertical="center" wrapText="1"/>
    </xf>
    <xf numFmtId="164" fontId="6" fillId="8" borderId="52" xfId="9" applyNumberFormat="1" applyFont="1" applyFill="1" applyBorder="1" applyAlignment="1">
      <alignment horizontal="left" vertical="center" wrapText="1"/>
    </xf>
    <xf numFmtId="164" fontId="6" fillId="8" borderId="50" xfId="9" applyNumberFormat="1" applyFont="1" applyFill="1" applyBorder="1" applyAlignment="1">
      <alignment horizontal="left" vertical="center" wrapText="1"/>
    </xf>
    <xf numFmtId="164" fontId="6" fillId="8" borderId="53" xfId="9" applyNumberFormat="1" applyFont="1" applyFill="1" applyBorder="1" applyAlignment="1">
      <alignment vertical="center" wrapText="1"/>
    </xf>
    <xf numFmtId="37" fontId="6" fillId="0" borderId="32" xfId="9" applyNumberFormat="1" applyFont="1" applyFill="1" applyBorder="1" applyAlignment="1">
      <alignment horizontal="center" vertical="center" wrapText="1"/>
    </xf>
    <xf numFmtId="164" fontId="6" fillId="0" borderId="22" xfId="9" applyNumberFormat="1" applyFont="1" applyFill="1" applyBorder="1" applyAlignment="1">
      <alignment horizontal="center" vertical="center" wrapText="1"/>
    </xf>
    <xf numFmtId="164" fontId="6" fillId="0" borderId="21" xfId="9" applyNumberFormat="1" applyFont="1" applyFill="1" applyBorder="1" applyAlignment="1">
      <alignment horizontal="center" vertical="center" wrapText="1"/>
    </xf>
    <xf numFmtId="0" fontId="6" fillId="0" borderId="29" xfId="5" applyFont="1" applyBorder="1" applyAlignment="1">
      <alignment horizontal="left" vertical="center" wrapText="1"/>
    </xf>
    <xf numFmtId="0" fontId="6" fillId="0" borderId="25" xfId="5" applyFont="1" applyBorder="1" applyAlignment="1">
      <alignment horizontal="left" vertical="center" wrapText="1"/>
    </xf>
    <xf numFmtId="0" fontId="6" fillId="0" borderId="54" xfId="5" applyFont="1" applyBorder="1" applyAlignment="1">
      <alignment horizontal="left" vertical="center" wrapText="1"/>
    </xf>
    <xf numFmtId="37" fontId="6" fillId="0" borderId="22" xfId="9" applyNumberFormat="1" applyFont="1" applyFill="1" applyBorder="1" applyAlignment="1">
      <alignment horizontal="center" vertical="center" wrapText="1"/>
    </xf>
    <xf numFmtId="39" fontId="6" fillId="0" borderId="21" xfId="9" applyNumberFormat="1" applyFont="1" applyFill="1" applyBorder="1" applyAlignment="1">
      <alignment horizontal="center" vertical="center" wrapText="1"/>
    </xf>
    <xf numFmtId="0" fontId="34" fillId="0" borderId="29" xfId="5" applyFont="1" applyBorder="1" applyAlignment="1">
      <alignment horizontal="right" wrapText="1"/>
    </xf>
    <xf numFmtId="0" fontId="6" fillId="0" borderId="54" xfId="5" applyFont="1" applyBorder="1" applyAlignment="1">
      <alignment horizontal="left" wrapText="1"/>
    </xf>
    <xf numFmtId="10" fontId="31" fillId="0" borderId="21" xfId="0" applyNumberFormat="1" applyFont="1" applyBorder="1" applyAlignment="1">
      <alignment horizontal="center" vertical="center" wrapText="1" readingOrder="1"/>
    </xf>
    <xf numFmtId="0" fontId="31" fillId="9" borderId="32" xfId="0" applyFont="1" applyFill="1" applyBorder="1" applyAlignment="1">
      <alignment horizontal="left" vertical="center" wrapText="1" indent="1" readingOrder="1"/>
    </xf>
    <xf numFmtId="0" fontId="31" fillId="9" borderId="22" xfId="0" applyFont="1" applyFill="1" applyBorder="1" applyAlignment="1">
      <alignment horizontal="left" vertical="center" wrapText="1" indent="1" readingOrder="1"/>
    </xf>
    <xf numFmtId="0" fontId="31" fillId="9" borderId="21" xfId="0" applyFont="1" applyFill="1" applyBorder="1" applyAlignment="1">
      <alignment horizontal="left" vertical="center" wrapText="1" indent="1" readingOrder="1"/>
    </xf>
    <xf numFmtId="170" fontId="6" fillId="0" borderId="32" xfId="1" applyNumberFormat="1" applyFont="1" applyFill="1" applyBorder="1" applyAlignment="1">
      <alignment horizontal="center" vertical="center" wrapText="1"/>
    </xf>
    <xf numFmtId="9" fontId="6" fillId="0" borderId="22" xfId="10" applyFont="1" applyFill="1" applyBorder="1" applyAlignment="1">
      <alignment horizontal="center" vertical="center" wrapText="1"/>
    </xf>
    <xf numFmtId="37" fontId="6" fillId="0" borderId="21" xfId="9" applyNumberFormat="1" applyFont="1" applyFill="1" applyBorder="1" applyAlignment="1">
      <alignment horizontal="center" vertical="center" wrapText="1"/>
    </xf>
    <xf numFmtId="17" fontId="6" fillId="6" borderId="32" xfId="0" applyNumberFormat="1" applyFont="1" applyFill="1" applyBorder="1" applyAlignment="1">
      <alignment vertical="center" wrapText="1"/>
    </xf>
    <xf numFmtId="165" fontId="6" fillId="6" borderId="22" xfId="2" applyNumberFormat="1" applyFont="1" applyFill="1" applyBorder="1" applyAlignment="1">
      <alignment horizontal="left" vertical="center" wrapText="1"/>
    </xf>
    <xf numFmtId="165" fontId="6" fillId="6" borderId="22" xfId="1" applyNumberFormat="1" applyFont="1" applyFill="1" applyBorder="1" applyAlignment="1">
      <alignment horizontal="left" vertical="center" wrapText="1"/>
    </xf>
    <xf numFmtId="165" fontId="6" fillId="6" borderId="21" xfId="1" applyNumberFormat="1" applyFont="1" applyFill="1" applyBorder="1" applyAlignment="1">
      <alignment horizontal="left" vertical="center" wrapText="1"/>
    </xf>
    <xf numFmtId="0" fontId="6" fillId="0" borderId="29" xfId="1" applyNumberFormat="1" applyFont="1" applyFill="1" applyBorder="1" applyAlignment="1">
      <alignment horizontal="left" vertical="center" wrapText="1"/>
    </xf>
    <xf numFmtId="0" fontId="6" fillId="0" borderId="54" xfId="1" applyNumberFormat="1" applyFont="1" applyFill="1" applyBorder="1" applyAlignment="1">
      <alignment horizontal="left" vertical="center" wrapText="1"/>
    </xf>
    <xf numFmtId="0" fontId="28" fillId="7" borderId="32" xfId="0" applyFont="1" applyFill="1" applyBorder="1" applyAlignment="1">
      <alignment vertical="center"/>
    </xf>
    <xf numFmtId="0" fontId="28" fillId="7" borderId="22" xfId="0" applyFont="1" applyFill="1" applyBorder="1" applyAlignment="1">
      <alignment vertical="center" wrapText="1"/>
    </xf>
    <xf numFmtId="0" fontId="28" fillId="7" borderId="21" xfId="0" applyFont="1" applyFill="1" applyBorder="1" applyAlignment="1">
      <alignment vertical="center" wrapText="1"/>
    </xf>
    <xf numFmtId="0" fontId="32" fillId="0" borderId="32" xfId="0" applyFont="1" applyBorder="1" applyAlignment="1">
      <alignment vertical="center" wrapText="1"/>
    </xf>
    <xf numFmtId="0" fontId="32" fillId="0" borderId="22" xfId="0" applyFont="1" applyBorder="1" applyAlignment="1">
      <alignment vertical="center" wrapText="1"/>
    </xf>
    <xf numFmtId="0" fontId="32" fillId="0" borderId="21" xfId="0" applyFont="1" applyBorder="1" applyAlignment="1">
      <alignment vertical="center"/>
    </xf>
    <xf numFmtId="9" fontId="6" fillId="3" borderId="32" xfId="10" applyFont="1" applyFill="1" applyBorder="1" applyAlignment="1">
      <alignment horizontal="center" vertical="center" wrapText="1"/>
    </xf>
    <xf numFmtId="9" fontId="6" fillId="3" borderId="22" xfId="10" quotePrefix="1" applyFont="1" applyFill="1" applyBorder="1" applyAlignment="1">
      <alignment horizontal="center" vertical="center" wrapText="1"/>
    </xf>
    <xf numFmtId="9" fontId="6" fillId="3" borderId="21" xfId="10" applyFont="1" applyFill="1" applyBorder="1" applyAlignment="1">
      <alignment horizontal="center" vertical="center" wrapText="1"/>
    </xf>
    <xf numFmtId="9" fontId="6" fillId="3" borderId="22" xfId="10" applyFont="1" applyFill="1" applyBorder="1" applyAlignment="1">
      <alignment horizontal="center" vertical="center" wrapText="1"/>
    </xf>
    <xf numFmtId="165" fontId="6" fillId="3" borderId="32" xfId="2" applyNumberFormat="1" applyFont="1" applyFill="1" applyBorder="1" applyAlignment="1">
      <alignment horizontal="center" vertical="center" wrapText="1"/>
    </xf>
    <xf numFmtId="165" fontId="6" fillId="3" borderId="22" xfId="2" applyNumberFormat="1" applyFont="1" applyFill="1" applyBorder="1" applyAlignment="1">
      <alignment horizontal="center" vertical="center" wrapText="1"/>
    </xf>
    <xf numFmtId="165" fontId="6" fillId="3" borderId="21" xfId="2" applyNumberFormat="1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164" fontId="6" fillId="6" borderId="41" xfId="1" quotePrefix="1" applyNumberFormat="1" applyFont="1" applyFill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9" fontId="6" fillId="6" borderId="55" xfId="2" applyFont="1" applyFill="1" applyBorder="1" applyAlignment="1">
      <alignment horizontal="left" vertical="center" wrapText="1"/>
    </xf>
    <xf numFmtId="164" fontId="6" fillId="6" borderId="55" xfId="1" applyNumberFormat="1" applyFont="1" applyFill="1" applyBorder="1" applyAlignment="1">
      <alignment horizontal="left" vertical="center" wrapText="1"/>
    </xf>
    <xf numFmtId="164" fontId="6" fillId="6" borderId="55" xfId="1" quotePrefix="1" applyNumberFormat="1" applyFont="1" applyFill="1" applyBorder="1" applyAlignment="1">
      <alignment horizontal="left" vertical="center" wrapText="1"/>
    </xf>
    <xf numFmtId="0" fontId="6" fillId="6" borderId="24" xfId="1" applyNumberFormat="1" applyFont="1" applyFill="1" applyBorder="1" applyAlignment="1">
      <alignment horizontal="left" vertical="center" wrapText="1"/>
    </xf>
    <xf numFmtId="165" fontId="6" fillId="8" borderId="52" xfId="2" applyNumberFormat="1" applyFont="1" applyFill="1" applyBorder="1" applyAlignment="1">
      <alignment horizontal="left" vertical="center" wrapText="1"/>
    </xf>
    <xf numFmtId="165" fontId="6" fillId="8" borderId="50" xfId="2" applyNumberFormat="1" applyFont="1" applyFill="1" applyBorder="1" applyAlignment="1">
      <alignment horizontal="left" vertical="center" wrapText="1"/>
    </xf>
    <xf numFmtId="164" fontId="6" fillId="8" borderId="32" xfId="9" applyNumberFormat="1" applyFont="1" applyFill="1" applyBorder="1" applyAlignment="1">
      <alignment horizontal="left" vertical="center" wrapText="1"/>
    </xf>
    <xf numFmtId="164" fontId="6" fillId="8" borderId="22" xfId="9" applyNumberFormat="1" applyFont="1" applyFill="1" applyBorder="1" applyAlignment="1">
      <alignment horizontal="left" vertical="center" wrapText="1"/>
    </xf>
    <xf numFmtId="164" fontId="6" fillId="8" borderId="21" xfId="9" applyNumberFormat="1" applyFont="1" applyFill="1" applyBorder="1" applyAlignment="1">
      <alignment horizontal="left" vertical="center" wrapText="1"/>
    </xf>
    <xf numFmtId="171" fontId="6" fillId="0" borderId="0" xfId="0" applyNumberFormat="1" applyFont="1"/>
    <xf numFmtId="17" fontId="21" fillId="3" borderId="24" xfId="0" applyNumberFormat="1" applyFont="1" applyFill="1" applyBorder="1" applyAlignment="1">
      <alignment vertical="center" wrapText="1"/>
    </xf>
    <xf numFmtId="165" fontId="0" fillId="0" borderId="32" xfId="2" applyNumberFormat="1" applyFont="1" applyBorder="1" applyAlignment="1">
      <alignment horizontal="center" vertical="center" wrapText="1"/>
    </xf>
    <xf numFmtId="165" fontId="0" fillId="0" borderId="22" xfId="2" applyNumberFormat="1" applyFont="1" applyBorder="1" applyAlignment="1">
      <alignment horizontal="center" vertical="center" wrapText="1"/>
    </xf>
    <xf numFmtId="17" fontId="6" fillId="0" borderId="7" xfId="0" applyNumberFormat="1" applyFont="1" applyBorder="1" applyAlignment="1">
      <alignment vertical="center" wrapText="1"/>
    </xf>
    <xf numFmtId="17" fontId="21" fillId="0" borderId="24" xfId="0" applyNumberFormat="1" applyFont="1" applyBorder="1" applyAlignment="1">
      <alignment vertical="center" wrapText="1"/>
    </xf>
    <xf numFmtId="164" fontId="6" fillId="6" borderId="28" xfId="1" quotePrefix="1" applyNumberFormat="1" applyFont="1" applyFill="1" applyBorder="1" applyAlignment="1">
      <alignment horizontal="left" vertical="center" wrapText="1"/>
    </xf>
    <xf numFmtId="164" fontId="6" fillId="6" borderId="0" xfId="1" quotePrefix="1" applyNumberFormat="1" applyFont="1" applyFill="1" applyBorder="1" applyAlignment="1">
      <alignment vertical="center" wrapText="1"/>
    </xf>
    <xf numFmtId="164" fontId="6" fillId="6" borderId="50" xfId="1" quotePrefix="1" applyNumberFormat="1" applyFont="1" applyFill="1" applyBorder="1" applyAlignment="1">
      <alignment horizontal="left" vertical="center" wrapText="1"/>
    </xf>
    <xf numFmtId="164" fontId="19" fillId="0" borderId="32" xfId="1" applyNumberFormat="1" applyFont="1" applyFill="1" applyBorder="1" applyAlignment="1">
      <alignment horizontal="left" vertical="center" wrapText="1"/>
    </xf>
    <xf numFmtId="0" fontId="6" fillId="0" borderId="21" xfId="0" applyFont="1" applyBorder="1"/>
    <xf numFmtId="0" fontId="6" fillId="6" borderId="41" xfId="1" applyNumberFormat="1" applyFont="1" applyFill="1" applyBorder="1" applyAlignment="1">
      <alignment horizontal="left" vertical="center" wrapText="1"/>
    </xf>
    <xf numFmtId="0" fontId="31" fillId="6" borderId="24" xfId="1" applyNumberFormat="1" applyFont="1" applyFill="1" applyBorder="1" applyAlignment="1">
      <alignment horizontal="left" vertical="center" wrapText="1"/>
    </xf>
    <xf numFmtId="164" fontId="19" fillId="0" borderId="21" xfId="1" applyNumberFormat="1" applyFont="1" applyFill="1" applyBorder="1" applyAlignment="1">
      <alignment horizontal="left" vertical="center" wrapText="1"/>
    </xf>
    <xf numFmtId="17" fontId="6" fillId="6" borderId="22" xfId="0" applyNumberFormat="1" applyFont="1" applyFill="1" applyBorder="1" applyAlignment="1">
      <alignment vertical="center" wrapText="1"/>
    </xf>
    <xf numFmtId="17" fontId="6" fillId="6" borderId="21" xfId="0" applyNumberFormat="1" applyFont="1" applyFill="1" applyBorder="1" applyAlignment="1">
      <alignment vertical="center" wrapText="1"/>
    </xf>
    <xf numFmtId="0" fontId="6" fillId="3" borderId="32" xfId="0" applyFont="1" applyFill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164" fontId="19" fillId="0" borderId="38" xfId="1" applyNumberFormat="1" applyFont="1" applyFill="1" applyBorder="1" applyAlignment="1">
      <alignment horizontal="left" vertical="center" wrapText="1"/>
    </xf>
    <xf numFmtId="165" fontId="6" fillId="6" borderId="24" xfId="1" applyNumberFormat="1" applyFont="1" applyFill="1" applyBorder="1" applyAlignment="1">
      <alignment horizontal="left" vertical="center" wrapText="1"/>
    </xf>
    <xf numFmtId="0" fontId="18" fillId="0" borderId="6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165" fontId="6" fillId="0" borderId="1" xfId="2" applyNumberFormat="1" applyFont="1" applyFill="1" applyBorder="1" applyAlignment="1">
      <alignment horizontal="center" vertical="center" wrapText="1"/>
    </xf>
    <xf numFmtId="165" fontId="6" fillId="6" borderId="3" xfId="2" applyNumberFormat="1" applyFont="1" applyFill="1" applyBorder="1" applyAlignment="1">
      <alignment horizontal="left" vertical="center" wrapText="1"/>
    </xf>
    <xf numFmtId="0" fontId="6" fillId="0" borderId="21" xfId="0" applyFont="1" applyBorder="1" applyAlignment="1">
      <alignment vertical="center"/>
    </xf>
    <xf numFmtId="172" fontId="6" fillId="6" borderId="21" xfId="1" applyNumberFormat="1" applyFont="1" applyFill="1" applyBorder="1" applyAlignment="1">
      <alignment horizontal="left" vertical="center" wrapText="1"/>
    </xf>
    <xf numFmtId="17" fontId="18" fillId="0" borderId="4" xfId="0" applyNumberFormat="1" applyFont="1" applyBorder="1" applyAlignment="1">
      <alignment vertical="center"/>
    </xf>
    <xf numFmtId="164" fontId="19" fillId="0" borderId="39" xfId="1" applyNumberFormat="1" applyFont="1" applyFill="1" applyBorder="1" applyAlignment="1">
      <alignment horizontal="left" vertical="center" wrapText="1"/>
    </xf>
    <xf numFmtId="164" fontId="19" fillId="0" borderId="36" xfId="1" applyNumberFormat="1" applyFont="1" applyFill="1" applyBorder="1" applyAlignment="1">
      <alignment horizontal="left" vertical="center" wrapText="1"/>
    </xf>
    <xf numFmtId="0" fontId="6" fillId="0" borderId="27" xfId="1" applyNumberFormat="1" applyFont="1" applyFill="1" applyBorder="1" applyAlignment="1">
      <alignment horizontal="left" vertical="center" wrapText="1"/>
    </xf>
    <xf numFmtId="0" fontId="21" fillId="0" borderId="44" xfId="0" applyFont="1" applyBorder="1" applyAlignment="1">
      <alignment vertical="center"/>
    </xf>
    <xf numFmtId="0" fontId="6" fillId="0" borderId="56" xfId="9" applyNumberFormat="1" applyFont="1" applyFill="1" applyBorder="1" applyAlignment="1">
      <alignment vertical="center" wrapText="1"/>
    </xf>
    <xf numFmtId="0" fontId="19" fillId="0" borderId="54" xfId="0" applyFont="1" applyBorder="1" applyAlignment="1">
      <alignment horizontal="left" vertical="center" wrapText="1"/>
    </xf>
    <xf numFmtId="165" fontId="0" fillId="0" borderId="0" xfId="0" applyNumberFormat="1" applyAlignment="1">
      <alignment horizontal="center"/>
    </xf>
    <xf numFmtId="164" fontId="6" fillId="6" borderId="3" xfId="1" applyNumberFormat="1" applyFont="1" applyFill="1" applyBorder="1" applyAlignment="1">
      <alignment horizontal="left" vertical="center" wrapText="1"/>
    </xf>
    <xf numFmtId="164" fontId="6" fillId="6" borderId="38" xfId="1" applyNumberFormat="1" applyFont="1" applyFill="1" applyBorder="1" applyAlignment="1">
      <alignment horizontal="left" vertical="center" wrapText="1"/>
    </xf>
    <xf numFmtId="0" fontId="6" fillId="6" borderId="22" xfId="1" applyNumberFormat="1" applyFont="1" applyFill="1" applyBorder="1" applyAlignment="1">
      <alignment horizontal="left" vertical="center" wrapText="1"/>
    </xf>
    <xf numFmtId="0" fontId="6" fillId="6" borderId="21" xfId="1" applyNumberFormat="1" applyFont="1" applyFill="1" applyBorder="1" applyAlignment="1">
      <alignment horizontal="left" vertical="center" wrapText="1"/>
    </xf>
    <xf numFmtId="164" fontId="6" fillId="6" borderId="23" xfId="1" quotePrefix="1" applyNumberFormat="1" applyFont="1" applyFill="1" applyBorder="1" applyAlignment="1">
      <alignment horizontal="left" vertical="center" wrapText="1"/>
    </xf>
    <xf numFmtId="164" fontId="6" fillId="6" borderId="43" xfId="1" applyNumberFormat="1" applyFont="1" applyFill="1" applyBorder="1" applyAlignment="1">
      <alignment horizontal="left" vertical="center" wrapText="1"/>
    </xf>
    <xf numFmtId="164" fontId="6" fillId="6" borderId="21" xfId="1" quotePrefix="1" applyNumberFormat="1" applyFont="1" applyFill="1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17" fontId="6" fillId="0" borderId="44" xfId="0" applyNumberFormat="1" applyFont="1" applyBorder="1" applyAlignment="1">
      <alignment vertical="center" wrapText="1"/>
    </xf>
    <xf numFmtId="165" fontId="6" fillId="0" borderId="10" xfId="2" applyNumberFormat="1" applyFont="1" applyFill="1" applyBorder="1" applyAlignment="1">
      <alignment horizontal="center" vertical="center" wrapText="1"/>
    </xf>
    <xf numFmtId="17" fontId="6" fillId="0" borderId="21" xfId="0" applyNumberFormat="1" applyFont="1" applyBorder="1" applyAlignment="1">
      <alignment vertical="center" wrapText="1"/>
    </xf>
    <xf numFmtId="0" fontId="17" fillId="0" borderId="32" xfId="0" applyFont="1" applyBorder="1" applyAlignment="1">
      <alignment horizontal="center" vertical="center" wrapText="1"/>
    </xf>
    <xf numFmtId="0" fontId="6" fillId="0" borderId="41" xfId="0" applyFont="1" applyBorder="1" applyAlignment="1">
      <alignment vertical="center"/>
    </xf>
    <xf numFmtId="0" fontId="6" fillId="0" borderId="25" xfId="0" applyFont="1" applyBorder="1" applyAlignment="1">
      <alignment horizontal="center" vertical="center" wrapText="1"/>
    </xf>
    <xf numFmtId="0" fontId="6" fillId="3" borderId="43" xfId="0" applyFont="1" applyFill="1" applyBorder="1" applyAlignment="1">
      <alignment vertical="center"/>
    </xf>
    <xf numFmtId="164" fontId="6" fillId="6" borderId="4" xfId="1" applyNumberFormat="1" applyFont="1" applyFill="1" applyBorder="1" applyAlignment="1">
      <alignment horizontal="left" vertical="center" wrapText="1"/>
    </xf>
    <xf numFmtId="0" fontId="6" fillId="0" borderId="54" xfId="0" applyFont="1" applyBorder="1" applyAlignment="1">
      <alignment horizontal="center" vertical="center" wrapText="1"/>
    </xf>
    <xf numFmtId="165" fontId="6" fillId="0" borderId="42" xfId="2" applyNumberFormat="1" applyFont="1" applyFill="1" applyBorder="1" applyAlignment="1">
      <alignment horizontal="center" vertical="center" wrapText="1"/>
    </xf>
    <xf numFmtId="0" fontId="6" fillId="0" borderId="21" xfId="9" applyNumberFormat="1" applyFont="1" applyFill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 wrapText="1"/>
    </xf>
    <xf numFmtId="165" fontId="35" fillId="0" borderId="3" xfId="10" applyNumberFormat="1" applyFont="1" applyFill="1" applyBorder="1" applyAlignment="1">
      <alignment horizontal="center" vertical="center" wrapText="1"/>
    </xf>
    <xf numFmtId="37" fontId="35" fillId="0" borderId="3" xfId="9" applyNumberFormat="1" applyFont="1" applyFill="1" applyBorder="1" applyAlignment="1">
      <alignment horizontal="center" vertical="center" wrapText="1"/>
    </xf>
    <xf numFmtId="165" fontId="35" fillId="0" borderId="3" xfId="2" applyNumberFormat="1" applyFont="1" applyFill="1" applyBorder="1" applyAlignment="1">
      <alignment horizontal="center" vertical="center" wrapText="1"/>
    </xf>
    <xf numFmtId="43" fontId="6" fillId="0" borderId="32" xfId="9" applyFont="1" applyFill="1" applyBorder="1" applyAlignment="1">
      <alignment vertical="center" wrapText="1"/>
    </xf>
    <xf numFmtId="43" fontId="6" fillId="0" borderId="22" xfId="9" applyFont="1" applyFill="1" applyBorder="1" applyAlignment="1">
      <alignment vertical="center" wrapText="1"/>
    </xf>
    <xf numFmtId="43" fontId="6" fillId="0" borderId="22" xfId="9" applyFont="1" applyFill="1" applyBorder="1" applyAlignment="1">
      <alignment horizontal="left" vertical="center" wrapText="1"/>
    </xf>
    <xf numFmtId="43" fontId="6" fillId="0" borderId="21" xfId="9" applyFont="1" applyFill="1" applyBorder="1" applyAlignment="1">
      <alignment horizontal="left" vertical="center" wrapText="1"/>
    </xf>
    <xf numFmtId="0" fontId="6" fillId="6" borderId="18" xfId="1" applyNumberFormat="1" applyFont="1" applyFill="1" applyBorder="1" applyAlignment="1">
      <alignment horizontal="left" vertical="center" wrapText="1"/>
    </xf>
    <xf numFmtId="0" fontId="19" fillId="6" borderId="24" xfId="0" applyFont="1" applyFill="1" applyBorder="1" applyAlignment="1">
      <alignment horizontal="left" vertical="center" wrapText="1"/>
    </xf>
    <xf numFmtId="0" fontId="21" fillId="0" borderId="38" xfId="0" applyFont="1" applyBorder="1" applyAlignment="1">
      <alignment vertical="center"/>
    </xf>
    <xf numFmtId="0" fontId="28" fillId="0" borderId="22" xfId="0" applyFont="1" applyBorder="1" applyAlignment="1">
      <alignment vertical="center" wrapText="1"/>
    </xf>
    <xf numFmtId="0" fontId="6" fillId="0" borderId="0" xfId="18"/>
    <xf numFmtId="0" fontId="6" fillId="0" borderId="0" xfId="18" applyAlignment="1">
      <alignment horizontal="left"/>
    </xf>
    <xf numFmtId="164" fontId="0" fillId="0" borderId="0" xfId="1" applyNumberFormat="1" applyFont="1" applyAlignment="1">
      <alignment horizontal="left" vertical="center"/>
    </xf>
    <xf numFmtId="0" fontId="6" fillId="0" borderId="0" xfId="18" applyAlignment="1">
      <alignment horizontal="right"/>
    </xf>
    <xf numFmtId="0" fontId="7" fillId="3" borderId="6" xfId="18" applyFont="1" applyFill="1" applyBorder="1"/>
    <xf numFmtId="0" fontId="8" fillId="3" borderId="8" xfId="18" applyFont="1" applyFill="1" applyBorder="1"/>
    <xf numFmtId="0" fontId="8" fillId="3" borderId="9" xfId="18" applyFont="1" applyFill="1" applyBorder="1" applyAlignment="1">
      <alignment horizontal="left"/>
    </xf>
    <xf numFmtId="0" fontId="10" fillId="3" borderId="8" xfId="18" applyFont="1" applyFill="1" applyBorder="1" applyAlignment="1" applyProtection="1">
      <alignment horizontal="left" vertical="center"/>
      <protection locked="0"/>
    </xf>
    <xf numFmtId="0" fontId="10" fillId="3" borderId="8" xfId="18" applyFont="1" applyFill="1" applyBorder="1" applyProtection="1">
      <protection locked="0"/>
    </xf>
    <xf numFmtId="0" fontId="10" fillId="3" borderId="8" xfId="18" applyFont="1" applyFill="1" applyBorder="1" applyAlignment="1" applyProtection="1">
      <alignment horizontal="left"/>
      <protection locked="0"/>
    </xf>
    <xf numFmtId="0" fontId="10" fillId="3" borderId="10" xfId="18" applyFont="1" applyFill="1" applyBorder="1" applyProtection="1">
      <protection locked="0"/>
    </xf>
    <xf numFmtId="0" fontId="7" fillId="0" borderId="0" xfId="18" applyFont="1"/>
    <xf numFmtId="0" fontId="11" fillId="3" borderId="7" xfId="18" applyFont="1" applyFill="1" applyBorder="1"/>
    <xf numFmtId="0" fontId="10" fillId="3" borderId="1" xfId="18" applyFont="1" applyFill="1" applyBorder="1" applyProtection="1">
      <protection locked="0"/>
    </xf>
    <xf numFmtId="0" fontId="11" fillId="0" borderId="0" xfId="18" applyFont="1"/>
    <xf numFmtId="0" fontId="13" fillId="4" borderId="4" xfId="18" applyFont="1" applyFill="1" applyBorder="1" applyAlignment="1">
      <alignment horizontal="left" vertical="center"/>
    </xf>
    <xf numFmtId="0" fontId="13" fillId="4" borderId="5" xfId="18" applyFont="1" applyFill="1" applyBorder="1" applyAlignment="1">
      <alignment horizontal="left" vertical="center"/>
    </xf>
    <xf numFmtId="166" fontId="11" fillId="0" borderId="0" xfId="18" applyNumberFormat="1" applyFont="1"/>
    <xf numFmtId="0" fontId="15" fillId="3" borderId="7" xfId="18" applyFont="1" applyFill="1" applyBorder="1"/>
    <xf numFmtId="0" fontId="15" fillId="0" borderId="0" xfId="18" applyFont="1"/>
    <xf numFmtId="0" fontId="6" fillId="3" borderId="7" xfId="18" applyFill="1" applyBorder="1"/>
    <xf numFmtId="0" fontId="18" fillId="0" borderId="12" xfId="18" applyFont="1" applyBorder="1" applyAlignment="1">
      <alignment vertical="center"/>
    </xf>
    <xf numFmtId="0" fontId="18" fillId="0" borderId="11" xfId="18" applyFont="1" applyBorder="1" applyAlignment="1">
      <alignment horizontal="center" vertical="center"/>
    </xf>
    <xf numFmtId="0" fontId="18" fillId="0" borderId="11" xfId="18" applyFont="1" applyBorder="1" applyAlignment="1">
      <alignment horizontal="left" vertical="center"/>
    </xf>
    <xf numFmtId="0" fontId="18" fillId="0" borderId="13" xfId="18" applyFont="1" applyBorder="1" applyAlignment="1">
      <alignment horizontal="left" vertical="center"/>
    </xf>
    <xf numFmtId="0" fontId="6" fillId="3" borderId="1" xfId="18" applyFill="1" applyBorder="1"/>
    <xf numFmtId="0" fontId="6" fillId="3" borderId="7" xfId="18" applyFill="1" applyBorder="1" applyAlignment="1">
      <alignment vertical="center"/>
    </xf>
    <xf numFmtId="0" fontId="6" fillId="0" borderId="32" xfId="18" applyBorder="1" applyAlignment="1">
      <alignment horizontal="left" vertical="center"/>
    </xf>
    <xf numFmtId="165" fontId="6" fillId="0" borderId="24" xfId="2" applyNumberFormat="1" applyFont="1" applyFill="1" applyBorder="1" applyAlignment="1">
      <alignment horizontal="center" vertical="center"/>
    </xf>
    <xf numFmtId="165" fontId="6" fillId="0" borderId="32" xfId="2" applyNumberFormat="1" applyFont="1" applyFill="1" applyBorder="1" applyAlignment="1">
      <alignment horizontal="center" vertical="center"/>
    </xf>
    <xf numFmtId="0" fontId="6" fillId="0" borderId="10" xfId="18" applyBorder="1" applyAlignment="1">
      <alignment horizontal="left" vertical="center"/>
    </xf>
    <xf numFmtId="0" fontId="6" fillId="3" borderId="1" xfId="18" applyFill="1" applyBorder="1" applyAlignment="1">
      <alignment vertical="center"/>
    </xf>
    <xf numFmtId="0" fontId="6" fillId="0" borderId="0" xfId="18" applyAlignment="1">
      <alignment vertical="center"/>
    </xf>
    <xf numFmtId="165" fontId="6" fillId="0" borderId="22" xfId="2" applyNumberFormat="1" applyFont="1" applyFill="1" applyBorder="1" applyAlignment="1">
      <alignment horizontal="center" vertical="center"/>
    </xf>
    <xf numFmtId="0" fontId="6" fillId="0" borderId="38" xfId="18" applyBorder="1" applyAlignment="1">
      <alignment horizontal="left" vertical="center"/>
    </xf>
    <xf numFmtId="0" fontId="6" fillId="0" borderId="22" xfId="18" applyBorder="1" applyAlignment="1">
      <alignment horizontal="left" vertical="center"/>
    </xf>
    <xf numFmtId="0" fontId="6" fillId="0" borderId="7" xfId="18" applyBorder="1" applyAlignment="1">
      <alignment vertical="center"/>
    </xf>
    <xf numFmtId="0" fontId="6" fillId="0" borderId="1" xfId="18" applyBorder="1" applyAlignment="1">
      <alignment vertical="center"/>
    </xf>
    <xf numFmtId="0" fontId="6" fillId="0" borderId="35" xfId="1" applyNumberFormat="1" applyFont="1" applyFill="1" applyBorder="1" applyAlignment="1">
      <alignment horizontal="left" vertical="center"/>
    </xf>
    <xf numFmtId="0" fontId="6" fillId="0" borderId="25" xfId="1" applyNumberFormat="1" applyFont="1" applyFill="1" applyBorder="1" applyAlignment="1">
      <alignment horizontal="left" vertical="center"/>
    </xf>
    <xf numFmtId="0" fontId="18" fillId="3" borderId="7" xfId="18" applyFont="1" applyFill="1" applyBorder="1" applyAlignment="1">
      <alignment vertical="center"/>
    </xf>
    <xf numFmtId="17" fontId="18" fillId="0" borderId="12" xfId="18" applyNumberFormat="1" applyFont="1" applyBorder="1" applyAlignment="1">
      <alignment vertical="center"/>
    </xf>
    <xf numFmtId="165" fontId="18" fillId="0" borderId="11" xfId="2" applyNumberFormat="1" applyFont="1" applyBorder="1" applyAlignment="1">
      <alignment horizontal="center" vertical="center"/>
    </xf>
    <xf numFmtId="165" fontId="18" fillId="0" borderId="35" xfId="1" applyNumberFormat="1" applyFont="1" applyFill="1" applyBorder="1" applyAlignment="1">
      <alignment horizontal="center" vertical="center"/>
    </xf>
    <xf numFmtId="0" fontId="18" fillId="3" borderId="1" xfId="18" applyFont="1" applyFill="1" applyBorder="1" applyAlignment="1">
      <alignment vertical="center"/>
    </xf>
    <xf numFmtId="0" fontId="18" fillId="0" borderId="0" xfId="18" applyFont="1" applyAlignment="1">
      <alignment vertical="center"/>
    </xf>
    <xf numFmtId="0" fontId="15" fillId="3" borderId="1" xfId="18" applyFont="1" applyFill="1" applyBorder="1"/>
    <xf numFmtId="0" fontId="18" fillId="3" borderId="7" xfId="18" applyFont="1" applyFill="1" applyBorder="1"/>
    <xf numFmtId="165" fontId="18" fillId="0" borderId="11" xfId="1" applyNumberFormat="1" applyFont="1" applyFill="1" applyBorder="1" applyAlignment="1">
      <alignment horizontal="center" vertical="center"/>
    </xf>
    <xf numFmtId="0" fontId="18" fillId="3" borderId="1" xfId="18" applyFont="1" applyFill="1" applyBorder="1"/>
    <xf numFmtId="0" fontId="18" fillId="0" borderId="0" xfId="18" applyFont="1"/>
    <xf numFmtId="165" fontId="18" fillId="0" borderId="11" xfId="1" applyNumberFormat="1" applyFont="1" applyBorder="1" applyAlignment="1">
      <alignment horizontal="center" vertical="center"/>
    </xf>
    <xf numFmtId="0" fontId="18" fillId="0" borderId="4" xfId="18" applyFont="1" applyBorder="1" applyAlignment="1">
      <alignment vertical="center"/>
    </xf>
    <xf numFmtId="0" fontId="18" fillId="0" borderId="14" xfId="18" applyFont="1" applyBorder="1" applyAlignment="1">
      <alignment horizontal="left" vertical="center"/>
    </xf>
    <xf numFmtId="1" fontId="6" fillId="0" borderId="0" xfId="18" applyNumberFormat="1" applyAlignment="1">
      <alignment vertical="center"/>
    </xf>
    <xf numFmtId="17" fontId="18" fillId="0" borderId="7" xfId="18" applyNumberFormat="1" applyFont="1" applyBorder="1" applyAlignment="1">
      <alignment vertical="center"/>
    </xf>
    <xf numFmtId="0" fontId="7" fillId="3" borderId="4" xfId="18" applyFont="1" applyFill="1" applyBorder="1"/>
    <xf numFmtId="0" fontId="8" fillId="3" borderId="5" xfId="18" applyFont="1" applyFill="1" applyBorder="1"/>
    <xf numFmtId="0" fontId="8" fillId="3" borderId="5" xfId="18" applyFont="1" applyFill="1" applyBorder="1" applyAlignment="1">
      <alignment horizontal="left"/>
    </xf>
    <xf numFmtId="164" fontId="9" fillId="3" borderId="5" xfId="1" applyNumberFormat="1" applyFont="1" applyFill="1" applyBorder="1" applyAlignment="1">
      <alignment horizontal="left" vertical="center"/>
    </xf>
    <xf numFmtId="0" fontId="9" fillId="3" borderId="5" xfId="18" applyFont="1" applyFill="1" applyBorder="1" applyAlignment="1">
      <alignment horizontal="right"/>
    </xf>
    <xf numFmtId="0" fontId="10" fillId="3" borderId="5" xfId="18" applyFont="1" applyFill="1" applyBorder="1" applyAlignment="1" applyProtection="1">
      <alignment horizontal="left"/>
      <protection locked="0"/>
    </xf>
    <xf numFmtId="0" fontId="7" fillId="3" borderId="2" xfId="18" applyFont="1" applyFill="1" applyBorder="1"/>
    <xf numFmtId="0" fontId="18" fillId="0" borderId="11" xfId="18" applyFont="1" applyBorder="1" applyAlignment="1">
      <alignment horizontal="center" vertical="center" wrapText="1"/>
    </xf>
    <xf numFmtId="0" fontId="6" fillId="0" borderId="42" xfId="18" applyBorder="1" applyAlignment="1">
      <alignment horizontal="left" vertical="center" wrapText="1"/>
    </xf>
    <xf numFmtId="0" fontId="6" fillId="0" borderId="22" xfId="18" applyBorder="1" applyAlignment="1">
      <alignment horizontal="left" vertical="center" wrapText="1"/>
    </xf>
    <xf numFmtId="0" fontId="6" fillId="0" borderId="28" xfId="18" applyBorder="1" applyAlignment="1">
      <alignment vertical="center" wrapText="1"/>
    </xf>
    <xf numFmtId="0" fontId="6" fillId="0" borderId="22" xfId="18" applyBorder="1" applyAlignment="1">
      <alignment vertical="center" wrapText="1"/>
    </xf>
    <xf numFmtId="0" fontId="6" fillId="0" borderId="7" xfId="18" applyBorder="1" applyAlignment="1">
      <alignment vertical="center" wrapText="1"/>
    </xf>
    <xf numFmtId="17" fontId="21" fillId="0" borderId="6" xfId="18" applyNumberFormat="1" applyFont="1" applyBorder="1" applyAlignment="1">
      <alignment vertical="center" wrapText="1"/>
    </xf>
    <xf numFmtId="17" fontId="6" fillId="0" borderId="24" xfId="18" applyNumberFormat="1" applyBorder="1" applyAlignment="1">
      <alignment vertical="center" wrapText="1"/>
    </xf>
    <xf numFmtId="10" fontId="6" fillId="6" borderId="41" xfId="2" applyNumberFormat="1" applyFont="1" applyFill="1" applyBorder="1" applyAlignment="1">
      <alignment horizontal="left" vertical="center" wrapText="1"/>
    </xf>
    <xf numFmtId="10" fontId="6" fillId="6" borderId="21" xfId="2" applyNumberFormat="1" applyFont="1" applyFill="1" applyBorder="1" applyAlignment="1">
      <alignment horizontal="left" vertical="center" wrapText="1"/>
    </xf>
    <xf numFmtId="17" fontId="6" fillId="0" borderId="6" xfId="18" applyNumberFormat="1" applyBorder="1" applyAlignment="1">
      <alignment vertical="center" wrapText="1"/>
    </xf>
    <xf numFmtId="0" fontId="6" fillId="0" borderId="29" xfId="18" applyBorder="1" applyAlignment="1">
      <alignment horizontal="left" vertical="center" wrapText="1"/>
    </xf>
    <xf numFmtId="165" fontId="6" fillId="0" borderId="21" xfId="2" applyNumberFormat="1" applyFont="1" applyFill="1" applyBorder="1" applyAlignment="1">
      <alignment horizontal="center" vertical="center"/>
    </xf>
    <xf numFmtId="0" fontId="6" fillId="0" borderId="32" xfId="18" applyBorder="1" applyAlignment="1">
      <alignment horizontal="left" vertical="center" wrapText="1"/>
    </xf>
    <xf numFmtId="0" fontId="6" fillId="0" borderId="38" xfId="18" applyBorder="1" applyAlignment="1">
      <alignment horizontal="left" vertical="center" wrapText="1"/>
    </xf>
    <xf numFmtId="165" fontId="6" fillId="6" borderId="24" xfId="2" applyNumberFormat="1" applyFont="1" applyFill="1" applyBorder="1" applyAlignment="1">
      <alignment horizontal="left" vertical="center" wrapText="1"/>
    </xf>
    <xf numFmtId="3" fontId="6" fillId="6" borderId="41" xfId="1" applyNumberFormat="1" applyFont="1" applyFill="1" applyBorder="1" applyAlignment="1">
      <alignment horizontal="left" vertical="center" wrapText="1"/>
    </xf>
    <xf numFmtId="37" fontId="6" fillId="6" borderId="41" xfId="1" applyNumberFormat="1" applyFont="1" applyFill="1" applyBorder="1" applyAlignment="1">
      <alignment horizontal="left" vertical="center" wrapText="1"/>
    </xf>
    <xf numFmtId="10" fontId="6" fillId="6" borderId="24" xfId="1" applyNumberFormat="1" applyFont="1" applyFill="1" applyBorder="1" applyAlignment="1">
      <alignment horizontal="left" vertical="center" wrapText="1"/>
    </xf>
    <xf numFmtId="9" fontId="0" fillId="6" borderId="41" xfId="2" applyFont="1" applyFill="1" applyBorder="1" applyAlignment="1">
      <alignment horizontal="left" vertical="center" wrapText="1"/>
    </xf>
    <xf numFmtId="9" fontId="6" fillId="6" borderId="24" xfId="2" applyFont="1" applyFill="1" applyBorder="1" applyAlignment="1">
      <alignment horizontal="left" vertical="center" wrapText="1"/>
    </xf>
    <xf numFmtId="17" fontId="6" fillId="3" borderId="24" xfId="18" applyNumberFormat="1" applyFill="1" applyBorder="1" applyAlignment="1">
      <alignment vertical="center" wrapText="1"/>
    </xf>
    <xf numFmtId="0" fontId="6" fillId="0" borderId="25" xfId="18" applyBorder="1" applyAlignment="1">
      <alignment horizontal="left" vertical="center" wrapText="1"/>
    </xf>
    <xf numFmtId="0" fontId="6" fillId="0" borderId="38" xfId="1" applyNumberFormat="1" applyFont="1" applyFill="1" applyBorder="1" applyAlignment="1">
      <alignment horizontal="left" vertical="center" wrapText="1"/>
    </xf>
    <xf numFmtId="0" fontId="21" fillId="0" borderId="32" xfId="0" applyFont="1" applyBorder="1" applyAlignment="1">
      <alignment horizontal="left" vertical="center" wrapText="1" readingOrder="1"/>
    </xf>
    <xf numFmtId="0" fontId="21" fillId="0" borderId="22" xfId="0" applyFont="1" applyBorder="1" applyAlignment="1">
      <alignment horizontal="left" vertical="center" wrapText="1" readingOrder="1"/>
    </xf>
    <xf numFmtId="0" fontId="30" fillId="0" borderId="22" xfId="0" applyFont="1" applyBorder="1" applyAlignment="1">
      <alignment horizontal="left" vertical="center" wrapText="1" readingOrder="1"/>
    </xf>
    <xf numFmtId="0" fontId="21" fillId="0" borderId="21" xfId="0" applyFont="1" applyBorder="1" applyAlignment="1">
      <alignment horizontal="left" vertical="center" wrapText="1" readingOrder="1"/>
    </xf>
    <xf numFmtId="0" fontId="30" fillId="0" borderId="21" xfId="0" applyFont="1" applyBorder="1" applyAlignment="1">
      <alignment horizontal="left" vertical="center" wrapText="1" readingOrder="1"/>
    </xf>
    <xf numFmtId="0" fontId="30" fillId="0" borderId="32" xfId="0" applyFont="1" applyBorder="1" applyAlignment="1">
      <alignment horizontal="left" vertical="center" wrapText="1" readingOrder="1"/>
    </xf>
    <xf numFmtId="0" fontId="6" fillId="6" borderId="36" xfId="1" applyNumberFormat="1" applyFont="1" applyFill="1" applyBorder="1" applyAlignment="1">
      <alignment horizontal="left" vertical="center" wrapText="1"/>
    </xf>
    <xf numFmtId="0" fontId="6" fillId="6" borderId="27" xfId="1" applyNumberFormat="1" applyFont="1" applyFill="1" applyBorder="1" applyAlignment="1">
      <alignment horizontal="left" vertical="center" wrapText="1"/>
    </xf>
    <xf numFmtId="0" fontId="6" fillId="6" borderId="39" xfId="1" applyNumberFormat="1" applyFont="1" applyFill="1" applyBorder="1" applyAlignment="1">
      <alignment horizontal="left" vertical="center" wrapText="1"/>
    </xf>
    <xf numFmtId="0" fontId="6" fillId="6" borderId="32" xfId="1" applyNumberFormat="1" applyFont="1" applyFill="1" applyBorder="1" applyAlignment="1">
      <alignment horizontal="left" vertical="center" wrapText="1"/>
    </xf>
    <xf numFmtId="0" fontId="6" fillId="6" borderId="43" xfId="1" applyNumberFormat="1" applyFont="1" applyFill="1" applyBorder="1" applyAlignment="1">
      <alignment horizontal="left" vertical="center" wrapText="1"/>
    </xf>
    <xf numFmtId="0" fontId="28" fillId="7" borderId="2" xfId="0" applyFont="1" applyFill="1" applyBorder="1" applyAlignment="1">
      <alignment vertical="center" wrapText="1"/>
    </xf>
    <xf numFmtId="0" fontId="6" fillId="0" borderId="0" xfId="8"/>
    <xf numFmtId="0" fontId="6" fillId="0" borderId="0" xfId="8" applyAlignment="1">
      <alignment horizontal="right"/>
    </xf>
    <xf numFmtId="1" fontId="6" fillId="0" borderId="0" xfId="8" applyNumberFormat="1"/>
    <xf numFmtId="0" fontId="7" fillId="3" borderId="6" xfId="8" applyFont="1" applyFill="1" applyBorder="1"/>
    <xf numFmtId="0" fontId="8" fillId="3" borderId="8" xfId="8" applyFont="1" applyFill="1" applyBorder="1"/>
    <xf numFmtId="0" fontId="8" fillId="3" borderId="9" xfId="8" applyFont="1" applyFill="1" applyBorder="1" applyAlignment="1">
      <alignment horizontal="right"/>
    </xf>
    <xf numFmtId="0" fontId="10" fillId="3" borderId="8" xfId="8" applyFont="1" applyFill="1" applyBorder="1" applyAlignment="1" applyProtection="1">
      <alignment vertical="center"/>
      <protection locked="0"/>
    </xf>
    <xf numFmtId="0" fontId="10" fillId="3" borderId="8" xfId="8" applyFont="1" applyFill="1" applyBorder="1" applyProtection="1">
      <protection locked="0"/>
    </xf>
    <xf numFmtId="0" fontId="10" fillId="3" borderId="10" xfId="8" applyFont="1" applyFill="1" applyBorder="1" applyProtection="1">
      <protection locked="0"/>
    </xf>
    <xf numFmtId="1" fontId="7" fillId="0" borderId="0" xfId="8" applyNumberFormat="1" applyFont="1"/>
    <xf numFmtId="0" fontId="7" fillId="0" borderId="0" xfId="8" applyFont="1"/>
    <xf numFmtId="0" fontId="11" fillId="3" borderId="7" xfId="8" applyFont="1" applyFill="1" applyBorder="1"/>
    <xf numFmtId="0" fontId="10" fillId="3" borderId="1" xfId="8" applyFont="1" applyFill="1" applyBorder="1" applyProtection="1">
      <protection locked="0"/>
    </xf>
    <xf numFmtId="1" fontId="11" fillId="0" borderId="0" xfId="8" applyNumberFormat="1" applyFont="1"/>
    <xf numFmtId="0" fontId="11" fillId="0" borderId="0" xfId="8" applyFont="1"/>
    <xf numFmtId="0" fontId="13" fillId="4" borderId="7" xfId="8" applyFont="1" applyFill="1" applyBorder="1" applyAlignment="1">
      <alignment horizontal="left" vertical="center"/>
    </xf>
    <xf numFmtId="0" fontId="13" fillId="4" borderId="0" xfId="8" applyFont="1" applyFill="1" applyAlignment="1">
      <alignment horizontal="left" vertical="center"/>
    </xf>
    <xf numFmtId="0" fontId="13" fillId="4" borderId="1" xfId="8" applyFont="1" applyFill="1" applyBorder="1" applyAlignment="1">
      <alignment horizontal="left" vertical="center"/>
    </xf>
    <xf numFmtId="0" fontId="15" fillId="3" borderId="7" xfId="8" applyFont="1" applyFill="1" applyBorder="1"/>
    <xf numFmtId="1" fontId="15" fillId="0" borderId="0" xfId="8" applyNumberFormat="1" applyFont="1"/>
    <xf numFmtId="0" fontId="15" fillId="0" borderId="0" xfId="8" applyFont="1"/>
    <xf numFmtId="0" fontId="36" fillId="3" borderId="7" xfId="8" applyFont="1" applyFill="1" applyBorder="1"/>
    <xf numFmtId="0" fontId="18" fillId="0" borderId="12" xfId="8" applyFont="1" applyBorder="1" applyAlignment="1">
      <alignment vertical="center" wrapText="1"/>
    </xf>
    <xf numFmtId="0" fontId="18" fillId="0" borderId="11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36" fillId="3" borderId="1" xfId="8" applyFont="1" applyFill="1" applyBorder="1"/>
    <xf numFmtId="1" fontId="36" fillId="0" borderId="0" xfId="8" applyNumberFormat="1" applyFont="1"/>
    <xf numFmtId="0" fontId="36" fillId="0" borderId="0" xfId="8" applyFont="1"/>
    <xf numFmtId="0" fontId="6" fillId="0" borderId="32" xfId="8" applyBorder="1" applyAlignment="1">
      <alignment vertical="center"/>
    </xf>
    <xf numFmtId="0" fontId="6" fillId="0" borderId="29" xfId="8" applyBorder="1" applyAlignment="1">
      <alignment horizontal="left" vertical="center" wrapText="1"/>
    </xf>
    <xf numFmtId="0" fontId="6" fillId="3" borderId="22" xfId="8" applyFill="1" applyBorder="1" applyAlignment="1">
      <alignment vertical="center"/>
    </xf>
    <xf numFmtId="0" fontId="6" fillId="0" borderId="42" xfId="8" applyBorder="1" applyAlignment="1">
      <alignment horizontal="left" vertical="center" wrapText="1"/>
    </xf>
    <xf numFmtId="0" fontId="6" fillId="3" borderId="43" xfId="8" applyFill="1" applyBorder="1" applyAlignment="1">
      <alignment vertical="center"/>
    </xf>
    <xf numFmtId="0" fontId="6" fillId="0" borderId="21" xfId="8" applyBorder="1" applyAlignment="1">
      <alignment vertical="center"/>
    </xf>
    <xf numFmtId="0" fontId="6" fillId="0" borderId="42" xfId="8" applyBorder="1" applyAlignment="1">
      <alignment horizontal="center" vertical="center" wrapText="1"/>
    </xf>
    <xf numFmtId="0" fontId="37" fillId="3" borderId="7" xfId="8" applyFont="1" applyFill="1" applyBorder="1" applyAlignment="1">
      <alignment vertical="center"/>
    </xf>
    <xf numFmtId="17" fontId="18" fillId="0" borderId="35" xfId="8" applyNumberFormat="1" applyFont="1" applyBorder="1" applyAlignment="1">
      <alignment vertical="center" wrapText="1"/>
    </xf>
    <xf numFmtId="165" fontId="18" fillId="0" borderId="13" xfId="2" applyNumberFormat="1" applyFont="1" applyBorder="1" applyAlignment="1">
      <alignment horizontal="center" vertical="center" wrapText="1"/>
    </xf>
    <xf numFmtId="0" fontId="18" fillId="0" borderId="13" xfId="8" applyFont="1" applyBorder="1" applyAlignment="1">
      <alignment horizontal="right" vertical="center" wrapText="1"/>
    </xf>
    <xf numFmtId="0" fontId="37" fillId="3" borderId="1" xfId="8" applyFont="1" applyFill="1" applyBorder="1" applyAlignment="1">
      <alignment vertical="center"/>
    </xf>
    <xf numFmtId="1" fontId="37" fillId="0" borderId="0" xfId="8" applyNumberFormat="1" applyFont="1" applyAlignment="1">
      <alignment vertical="center"/>
    </xf>
    <xf numFmtId="0" fontId="37" fillId="0" borderId="0" xfId="8" applyFont="1" applyAlignment="1">
      <alignment vertical="center"/>
    </xf>
    <xf numFmtId="165" fontId="37" fillId="0" borderId="0" xfId="2" applyNumberFormat="1" applyFont="1" applyAlignment="1">
      <alignment vertical="center"/>
    </xf>
    <xf numFmtId="0" fontId="15" fillId="3" borderId="1" xfId="8" applyFont="1" applyFill="1" applyBorder="1"/>
    <xf numFmtId="167" fontId="15" fillId="0" borderId="0" xfId="8" applyNumberFormat="1" applyFont="1"/>
    <xf numFmtId="0" fontId="18" fillId="0" borderId="6" xfId="8" applyFont="1" applyBorder="1" applyAlignment="1">
      <alignment vertical="center" wrapText="1"/>
    </xf>
    <xf numFmtId="0" fontId="36" fillId="0" borderId="7" xfId="8" applyFont="1" applyBorder="1"/>
    <xf numFmtId="17" fontId="6" fillId="0" borderId="32" xfId="8" applyNumberFormat="1" applyBorder="1" applyAlignment="1">
      <alignment vertical="center" wrapText="1"/>
    </xf>
    <xf numFmtId="0" fontId="36" fillId="0" borderId="1" xfId="8" applyFont="1" applyBorder="1"/>
    <xf numFmtId="165" fontId="37" fillId="0" borderId="0" xfId="8" applyNumberFormat="1" applyFont="1" applyAlignment="1">
      <alignment vertical="center"/>
    </xf>
    <xf numFmtId="17" fontId="6" fillId="0" borderId="22" xfId="8" applyNumberFormat="1" applyBorder="1" applyAlignment="1">
      <alignment vertical="center" wrapText="1"/>
    </xf>
    <xf numFmtId="17" fontId="6" fillId="0" borderId="21" xfId="8" applyNumberFormat="1" applyBorder="1" applyAlignment="1">
      <alignment vertical="center" wrapText="1"/>
    </xf>
    <xf numFmtId="0" fontId="37" fillId="3" borderId="7" xfId="8" applyFont="1" applyFill="1" applyBorder="1"/>
    <xf numFmtId="17" fontId="21" fillId="0" borderId="4" xfId="8" applyNumberFormat="1" applyFont="1" applyBorder="1" applyAlignment="1">
      <alignment vertical="center" wrapText="1"/>
    </xf>
    <xf numFmtId="165" fontId="21" fillId="0" borderId="11" xfId="2" applyNumberFormat="1" applyFont="1" applyBorder="1" applyAlignment="1">
      <alignment horizontal="center" vertical="center" wrapText="1"/>
    </xf>
    <xf numFmtId="165" fontId="21" fillId="0" borderId="11" xfId="1" applyNumberFormat="1" applyFont="1" applyFill="1" applyBorder="1" applyAlignment="1">
      <alignment horizontal="center" vertical="center" wrapText="1"/>
    </xf>
    <xf numFmtId="0" fontId="37" fillId="3" borderId="1" xfId="8" applyFont="1" applyFill="1" applyBorder="1"/>
    <xf numFmtId="1" fontId="37" fillId="0" borderId="0" xfId="8" applyNumberFormat="1" applyFont="1"/>
    <xf numFmtId="9" fontId="36" fillId="0" borderId="0" xfId="2" applyFont="1"/>
    <xf numFmtId="0" fontId="37" fillId="0" borderId="0" xfId="8" applyFont="1"/>
    <xf numFmtId="0" fontId="21" fillId="0" borderId="12" xfId="8" applyFont="1" applyBorder="1" applyAlignment="1">
      <alignment vertical="center" wrapText="1"/>
    </xf>
    <xf numFmtId="0" fontId="21" fillId="0" borderId="11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38" fillId="0" borderId="7" xfId="8" applyFont="1" applyBorder="1"/>
    <xf numFmtId="17" fontId="6" fillId="0" borderId="24" xfId="8" applyNumberFormat="1" applyBorder="1" applyAlignment="1">
      <alignment vertical="center"/>
    </xf>
    <xf numFmtId="0" fontId="19" fillId="6" borderId="24" xfId="1" applyNumberFormat="1" applyFont="1" applyFill="1" applyBorder="1" applyAlignment="1">
      <alignment horizontal="left" vertical="center" wrapText="1"/>
    </xf>
    <xf numFmtId="0" fontId="38" fillId="0" borderId="1" xfId="8" applyFont="1" applyBorder="1"/>
    <xf numFmtId="1" fontId="38" fillId="0" borderId="0" xfId="8" applyNumberFormat="1" applyFont="1"/>
    <xf numFmtId="0" fontId="38" fillId="0" borderId="0" xfId="8" applyFont="1"/>
    <xf numFmtId="17" fontId="6" fillId="0" borderId="24" xfId="8" applyNumberFormat="1" applyBorder="1" applyAlignment="1">
      <alignment vertical="center" wrapText="1"/>
    </xf>
    <xf numFmtId="17" fontId="21" fillId="0" borderId="12" xfId="8" applyNumberFormat="1" applyFont="1" applyBorder="1" applyAlignment="1">
      <alignment vertical="center" wrapText="1"/>
    </xf>
    <xf numFmtId="165" fontId="21" fillId="0" borderId="11" xfId="1" applyNumberFormat="1" applyFont="1" applyBorder="1" applyAlignment="1">
      <alignment horizontal="center" vertical="center" wrapText="1"/>
    </xf>
    <xf numFmtId="0" fontId="6" fillId="3" borderId="7" xfId="8" applyFill="1" applyBorder="1"/>
    <xf numFmtId="0" fontId="18" fillId="0" borderId="4" xfId="8" applyFont="1" applyBorder="1" applyAlignment="1">
      <alignment vertical="center" wrapText="1"/>
    </xf>
    <xf numFmtId="0" fontId="18" fillId="0" borderId="14" xfId="8" applyFont="1" applyBorder="1" applyAlignment="1">
      <alignment horizontal="center" vertical="center" wrapText="1"/>
    </xf>
    <xf numFmtId="0" fontId="6" fillId="3" borderId="1" xfId="8" applyFill="1" applyBorder="1"/>
    <xf numFmtId="0" fontId="19" fillId="6" borderId="26" xfId="1" applyNumberFormat="1" applyFont="1" applyFill="1" applyBorder="1" applyAlignment="1">
      <alignment horizontal="left" vertical="center" wrapText="1"/>
    </xf>
    <xf numFmtId="0" fontId="18" fillId="3" borderId="7" xfId="8" applyFont="1" applyFill="1" applyBorder="1"/>
    <xf numFmtId="0" fontId="21" fillId="0" borderId="11" xfId="8" applyFont="1" applyBorder="1" applyAlignment="1">
      <alignment horizontal="right" vertical="center" wrapText="1"/>
    </xf>
    <xf numFmtId="0" fontId="18" fillId="3" borderId="1" xfId="8" applyFont="1" applyFill="1" applyBorder="1"/>
    <xf numFmtId="1" fontId="18" fillId="0" borderId="0" xfId="8" applyNumberFormat="1" applyFont="1"/>
    <xf numFmtId="168" fontId="18" fillId="0" borderId="0" xfId="8" applyNumberFormat="1" applyFont="1"/>
    <xf numFmtId="9" fontId="18" fillId="0" borderId="0" xfId="8" applyNumberFormat="1" applyFont="1"/>
    <xf numFmtId="0" fontId="18" fillId="0" borderId="0" xfId="8" applyFont="1"/>
    <xf numFmtId="17" fontId="21" fillId="0" borderId="7" xfId="8" applyNumberFormat="1" applyFont="1" applyBorder="1" applyAlignment="1">
      <alignment vertical="center" wrapText="1"/>
    </xf>
    <xf numFmtId="165" fontId="21" fillId="0" borderId="3" xfId="2" applyNumberFormat="1" applyFont="1" applyBorder="1" applyAlignment="1">
      <alignment horizontal="center" vertical="center" wrapText="1"/>
    </xf>
    <xf numFmtId="0" fontId="18" fillId="3" borderId="0" xfId="8" applyFont="1" applyFill="1"/>
    <xf numFmtId="1" fontId="18" fillId="0" borderId="17" xfId="8" applyNumberFormat="1" applyFont="1" applyBorder="1"/>
    <xf numFmtId="169" fontId="18" fillId="0" borderId="0" xfId="8" applyNumberFormat="1" applyFont="1"/>
    <xf numFmtId="165" fontId="18" fillId="0" borderId="0" xfId="8" applyNumberFormat="1" applyFont="1"/>
    <xf numFmtId="0" fontId="7" fillId="3" borderId="4" xfId="8" applyFont="1" applyFill="1" applyBorder="1"/>
    <xf numFmtId="0" fontId="8" fillId="3" borderId="5" xfId="8" applyFont="1" applyFill="1" applyBorder="1"/>
    <xf numFmtId="0" fontId="8" fillId="3" borderId="5" xfId="8" applyFont="1" applyFill="1" applyBorder="1" applyAlignment="1">
      <alignment horizontal="right"/>
    </xf>
    <xf numFmtId="0" fontId="9" fillId="3" borderId="5" xfId="8" applyFont="1" applyFill="1" applyBorder="1" applyAlignment="1">
      <alignment horizontal="right"/>
    </xf>
    <xf numFmtId="0" fontId="10" fillId="3" borderId="5" xfId="8" applyFont="1" applyFill="1" applyBorder="1" applyAlignment="1" applyProtection="1">
      <alignment horizontal="right"/>
      <protection locked="0"/>
    </xf>
    <xf numFmtId="0" fontId="7" fillId="3" borderId="2" xfId="8" applyFont="1" applyFill="1" applyBorder="1"/>
    <xf numFmtId="167" fontId="6" fillId="0" borderId="0" xfId="8" applyNumberFormat="1"/>
    <xf numFmtId="166" fontId="11" fillId="0" borderId="0" xfId="8" applyNumberFormat="1" applyFont="1"/>
    <xf numFmtId="0" fontId="6" fillId="0" borderId="32" xfId="8" applyBorder="1" applyAlignment="1">
      <alignment vertical="center" wrapText="1"/>
    </xf>
    <xf numFmtId="164" fontId="6" fillId="6" borderId="41" xfId="9" quotePrefix="1" applyNumberFormat="1" applyFont="1" applyFill="1" applyBorder="1" applyAlignment="1">
      <alignment horizontal="left" vertical="center" wrapText="1"/>
    </xf>
    <xf numFmtId="0" fontId="6" fillId="0" borderId="22" xfId="8" applyBorder="1" applyAlignment="1">
      <alignment vertical="center" wrapText="1"/>
    </xf>
    <xf numFmtId="164" fontId="6" fillId="6" borderId="41" xfId="9" applyNumberFormat="1" applyFont="1" applyFill="1" applyBorder="1" applyAlignment="1">
      <alignment horizontal="left" vertical="center" wrapText="1"/>
    </xf>
    <xf numFmtId="0" fontId="6" fillId="0" borderId="38" xfId="8" applyBorder="1" applyAlignment="1">
      <alignment horizontal="center" vertical="center" wrapText="1"/>
    </xf>
    <xf numFmtId="165" fontId="6" fillId="6" borderId="41" xfId="10" applyNumberFormat="1" applyFont="1" applyFill="1" applyBorder="1" applyAlignment="1">
      <alignment horizontal="left" vertical="center" wrapText="1"/>
    </xf>
    <xf numFmtId="10" fontId="6" fillId="6" borderId="41" xfId="10" applyNumberFormat="1" applyFont="1" applyFill="1" applyBorder="1" applyAlignment="1">
      <alignment horizontal="left" vertical="center" wrapText="1"/>
    </xf>
    <xf numFmtId="165" fontId="6" fillId="6" borderId="41" xfId="19" applyNumberFormat="1" applyFont="1" applyFill="1" applyBorder="1" applyAlignment="1">
      <alignment horizontal="left" vertical="center" wrapText="1"/>
    </xf>
    <xf numFmtId="0" fontId="6" fillId="0" borderId="21" xfId="8" applyBorder="1" applyAlignment="1">
      <alignment vertical="center" wrapText="1"/>
    </xf>
    <xf numFmtId="0" fontId="18" fillId="3" borderId="7" xfId="8" applyFont="1" applyFill="1" applyBorder="1" applyAlignment="1">
      <alignment vertical="center"/>
    </xf>
    <xf numFmtId="17" fontId="18" fillId="0" borderId="12" xfId="8" applyNumberFormat="1" applyFont="1" applyBorder="1" applyAlignment="1">
      <alignment vertical="center" wrapText="1"/>
    </xf>
    <xf numFmtId="165" fontId="18" fillId="0" borderId="11" xfId="10" applyNumberFormat="1" applyFont="1" applyBorder="1" applyAlignment="1">
      <alignment horizontal="center" vertical="center" wrapText="1"/>
    </xf>
    <xf numFmtId="0" fontId="18" fillId="0" borderId="11" xfId="8" applyFont="1" applyBorder="1" applyAlignment="1">
      <alignment horizontal="right" vertical="center" wrapText="1"/>
    </xf>
    <xf numFmtId="0" fontId="18" fillId="3" borderId="1" xfId="8" applyFont="1" applyFill="1" applyBorder="1" applyAlignment="1">
      <alignment vertical="center"/>
    </xf>
    <xf numFmtId="0" fontId="18" fillId="0" borderId="0" xfId="8" applyFont="1" applyAlignment="1">
      <alignment vertical="center"/>
    </xf>
    <xf numFmtId="165" fontId="18" fillId="0" borderId="0" xfId="8" applyNumberFormat="1" applyFont="1" applyAlignment="1">
      <alignment vertical="center"/>
    </xf>
    <xf numFmtId="165" fontId="18" fillId="0" borderId="0" xfId="10" applyNumberFormat="1" applyFont="1" applyAlignment="1">
      <alignment vertical="center"/>
    </xf>
    <xf numFmtId="165" fontId="15" fillId="0" borderId="0" xfId="10" applyNumberFormat="1" applyFont="1"/>
    <xf numFmtId="0" fontId="6" fillId="0" borderId="7" xfId="8" applyBorder="1"/>
    <xf numFmtId="17" fontId="21" fillId="0" borderId="32" xfId="8" applyNumberFormat="1" applyFont="1" applyBorder="1" applyAlignment="1">
      <alignment vertical="center" wrapText="1"/>
    </xf>
    <xf numFmtId="165" fontId="6" fillId="0" borderId="23" xfId="10" applyNumberFormat="1" applyFont="1" applyFill="1" applyBorder="1" applyAlignment="1">
      <alignment horizontal="center" vertical="center" wrapText="1"/>
    </xf>
    <xf numFmtId="0" fontId="6" fillId="0" borderId="23" xfId="9" applyNumberFormat="1" applyFont="1" applyFill="1" applyBorder="1" applyAlignment="1">
      <alignment horizontal="left" vertical="center" wrapText="1"/>
    </xf>
    <xf numFmtId="0" fontId="6" fillId="0" borderId="1" xfId="8" applyBorder="1"/>
    <xf numFmtId="0" fontId="6" fillId="0" borderId="22" xfId="9" applyNumberFormat="1" applyFont="1" applyFill="1" applyBorder="1" applyAlignment="1">
      <alignment horizontal="left" vertical="center" wrapText="1"/>
    </xf>
    <xf numFmtId="165" fontId="6" fillId="0" borderId="38" xfId="10" applyNumberFormat="1" applyFont="1" applyFill="1" applyBorder="1" applyAlignment="1">
      <alignment horizontal="center" vertical="center" wrapText="1"/>
    </xf>
    <xf numFmtId="165" fontId="6" fillId="0" borderId="3" xfId="10" applyNumberFormat="1" applyFont="1" applyFill="1" applyBorder="1" applyAlignment="1">
      <alignment horizontal="center" vertical="center" wrapText="1"/>
    </xf>
    <xf numFmtId="0" fontId="6" fillId="0" borderId="38" xfId="8" applyBorder="1" applyAlignment="1">
      <alignment horizontal="left" vertical="center" wrapText="1"/>
    </xf>
    <xf numFmtId="9" fontId="6" fillId="0" borderId="0" xfId="10" applyFont="1"/>
    <xf numFmtId="164" fontId="6" fillId="6" borderId="50" xfId="9" applyNumberFormat="1" applyFont="1" applyFill="1" applyBorder="1" applyAlignment="1">
      <alignment horizontal="left" vertical="center" wrapText="1"/>
    </xf>
    <xf numFmtId="0" fontId="6" fillId="0" borderId="22" xfId="9" applyNumberFormat="1" applyFont="1" applyFill="1" applyBorder="1" applyAlignment="1">
      <alignment horizontal="center" vertical="center" wrapText="1"/>
    </xf>
    <xf numFmtId="0" fontId="6" fillId="6" borderId="24" xfId="9" applyNumberFormat="1" applyFont="1" applyFill="1" applyBorder="1" applyAlignment="1">
      <alignment horizontal="left" vertical="center" wrapText="1"/>
    </xf>
    <xf numFmtId="0" fontId="6" fillId="6" borderId="50" xfId="9" applyNumberFormat="1" applyFont="1" applyFill="1" applyBorder="1" applyAlignment="1">
      <alignment horizontal="left" vertical="center" wrapText="1"/>
    </xf>
    <xf numFmtId="0" fontId="6" fillId="0" borderId="0" xfId="10" applyNumberFormat="1" applyFont="1"/>
    <xf numFmtId="0" fontId="19" fillId="0" borderId="57" xfId="20" applyFont="1" applyBorder="1" applyAlignment="1">
      <alignment horizontal="left" vertical="center" wrapText="1"/>
    </xf>
    <xf numFmtId="164" fontId="6" fillId="6" borderId="24" xfId="9" applyNumberFormat="1" applyFont="1" applyFill="1" applyBorder="1" applyAlignment="1">
      <alignment horizontal="left" vertical="center" wrapText="1"/>
    </xf>
    <xf numFmtId="0" fontId="39" fillId="0" borderId="57" xfId="20" applyFont="1" applyBorder="1" applyAlignment="1">
      <alignment horizontal="left" vertical="center" wrapText="1"/>
    </xf>
    <xf numFmtId="164" fontId="6" fillId="6" borderId="7" xfId="9" applyNumberFormat="1" applyFont="1" applyFill="1" applyBorder="1" applyAlignment="1">
      <alignment horizontal="left" vertical="center" wrapText="1"/>
    </xf>
    <xf numFmtId="0" fontId="6" fillId="0" borderId="41" xfId="8" applyBorder="1" applyAlignment="1">
      <alignment vertical="center"/>
    </xf>
    <xf numFmtId="165" fontId="6" fillId="6" borderId="32" xfId="2" applyNumberFormat="1" applyFont="1" applyFill="1" applyBorder="1" applyAlignment="1">
      <alignment horizontal="left" vertical="center"/>
    </xf>
    <xf numFmtId="0" fontId="6" fillId="0" borderId="29" xfId="8" applyBorder="1" applyAlignment="1">
      <alignment horizontal="center" vertical="center" wrapText="1"/>
    </xf>
    <xf numFmtId="165" fontId="6" fillId="6" borderId="38" xfId="2" applyNumberFormat="1" applyFont="1" applyFill="1" applyBorder="1" applyAlignment="1">
      <alignment horizontal="left" vertical="center" wrapText="1"/>
    </xf>
    <xf numFmtId="0" fontId="6" fillId="3" borderId="22" xfId="8" applyFill="1" applyBorder="1" applyAlignment="1">
      <alignment vertical="center" wrapText="1"/>
    </xf>
    <xf numFmtId="165" fontId="6" fillId="6" borderId="35" xfId="2" applyNumberFormat="1" applyFont="1" applyFill="1" applyBorder="1" applyAlignment="1">
      <alignment horizontal="left" vertical="center" wrapText="1"/>
    </xf>
    <xf numFmtId="0" fontId="19" fillId="0" borderId="54" xfId="8" applyFont="1" applyBorder="1" applyAlignment="1">
      <alignment horizontal="left" vertical="center" wrapText="1"/>
    </xf>
    <xf numFmtId="0" fontId="6" fillId="0" borderId="1" xfId="8" applyBorder="1" applyAlignment="1">
      <alignment horizontal="center" vertical="center" wrapText="1"/>
    </xf>
    <xf numFmtId="164" fontId="0" fillId="0" borderId="0" xfId="9" applyNumberFormat="1" applyFont="1" applyAlignment="1">
      <alignment horizontal="right" vertical="center"/>
    </xf>
    <xf numFmtId="164" fontId="19" fillId="0" borderId="23" xfId="9" applyNumberFormat="1" applyFont="1" applyFill="1" applyBorder="1" applyAlignment="1">
      <alignment horizontal="left" vertical="center" wrapText="1"/>
    </xf>
    <xf numFmtId="165" fontId="6" fillId="0" borderId="24" xfId="10" applyNumberFormat="1" applyFont="1" applyFill="1" applyBorder="1" applyAlignment="1">
      <alignment horizontal="center" vertical="center" wrapText="1"/>
    </xf>
    <xf numFmtId="164" fontId="19" fillId="0" borderId="22" xfId="9" applyNumberFormat="1" applyFont="1" applyFill="1" applyBorder="1" applyAlignment="1">
      <alignment horizontal="left" vertical="center" wrapText="1"/>
    </xf>
    <xf numFmtId="164" fontId="19" fillId="0" borderId="38" xfId="9" applyNumberFormat="1" applyFont="1" applyFill="1" applyBorder="1" applyAlignment="1">
      <alignment horizontal="left" vertical="center" wrapText="1"/>
    </xf>
    <xf numFmtId="0" fontId="6" fillId="0" borderId="35" xfId="8" applyBorder="1" applyAlignment="1">
      <alignment horizontal="left" vertical="center" wrapText="1"/>
    </xf>
    <xf numFmtId="164" fontId="6" fillId="6" borderId="8" xfId="9" applyNumberFormat="1" applyFont="1" applyFill="1" applyBorder="1" applyAlignment="1">
      <alignment horizontal="left" vertical="center" wrapText="1"/>
    </xf>
    <xf numFmtId="165" fontId="6" fillId="0" borderId="17" xfId="10" applyNumberFormat="1" applyFont="1" applyFill="1" applyBorder="1" applyAlignment="1">
      <alignment horizontal="center" vertical="center" wrapText="1"/>
    </xf>
    <xf numFmtId="165" fontId="6" fillId="0" borderId="58" xfId="10" applyNumberFormat="1" applyFont="1" applyFill="1" applyBorder="1" applyAlignment="1">
      <alignment horizontal="center" vertical="center" wrapText="1"/>
    </xf>
    <xf numFmtId="9" fontId="6" fillId="6" borderId="50" xfId="19" applyFont="1" applyFill="1" applyBorder="1" applyAlignment="1">
      <alignment horizontal="left" vertical="center" wrapText="1"/>
    </xf>
    <xf numFmtId="164" fontId="19" fillId="0" borderId="35" xfId="9" applyNumberFormat="1" applyFont="1" applyFill="1" applyBorder="1" applyAlignment="1">
      <alignment horizontal="left" vertical="center" wrapText="1"/>
    </xf>
    <xf numFmtId="165" fontId="18" fillId="0" borderId="11" xfId="9" applyNumberFormat="1" applyFont="1" applyFill="1" applyBorder="1" applyAlignment="1">
      <alignment horizontal="center" vertical="center" wrapText="1"/>
    </xf>
    <xf numFmtId="0" fontId="6" fillId="0" borderId="10" xfId="9" applyNumberFormat="1" applyFont="1" applyFill="1" applyBorder="1" applyAlignment="1">
      <alignment horizontal="center" vertical="center" wrapText="1"/>
    </xf>
    <xf numFmtId="0" fontId="6" fillId="0" borderId="25" xfId="9" applyNumberFormat="1" applyFont="1" applyFill="1" applyBorder="1" applyAlignment="1">
      <alignment horizontal="center" vertical="center" wrapText="1"/>
    </xf>
    <xf numFmtId="0" fontId="6" fillId="0" borderId="21" xfId="9" applyNumberFormat="1" applyFont="1" applyFill="1" applyBorder="1" applyAlignment="1">
      <alignment horizontal="left" vertical="center" wrapText="1"/>
    </xf>
    <xf numFmtId="165" fontId="18" fillId="0" borderId="11" xfId="9" applyNumberFormat="1" applyFont="1" applyBorder="1" applyAlignment="1">
      <alignment horizontal="center" vertical="center" wrapText="1"/>
    </xf>
    <xf numFmtId="0" fontId="6" fillId="0" borderId="32" xfId="9" applyNumberFormat="1" applyFont="1" applyFill="1" applyBorder="1" applyAlignment="1">
      <alignment horizontal="left" vertical="center" wrapText="1"/>
    </xf>
    <xf numFmtId="0" fontId="6" fillId="0" borderId="22" xfId="8" applyBorder="1" applyAlignment="1">
      <alignment horizontal="left" vertical="center" wrapText="1"/>
    </xf>
    <xf numFmtId="0" fontId="6" fillId="0" borderId="1" xfId="8" applyBorder="1" applyAlignment="1">
      <alignment horizontal="left" vertical="center" wrapText="1"/>
    </xf>
    <xf numFmtId="17" fontId="18" fillId="0" borderId="7" xfId="8" applyNumberFormat="1" applyFont="1" applyBorder="1" applyAlignment="1">
      <alignment vertical="center" wrapText="1"/>
    </xf>
    <xf numFmtId="165" fontId="18" fillId="0" borderId="3" xfId="10" applyNumberFormat="1" applyFont="1" applyBorder="1" applyAlignment="1">
      <alignment horizontal="center" vertical="center" wrapText="1"/>
    </xf>
    <xf numFmtId="164" fontId="9" fillId="3" borderId="5" xfId="9" applyNumberFormat="1" applyFont="1" applyFill="1" applyBorder="1" applyAlignment="1">
      <alignment horizontal="right" vertical="center"/>
    </xf>
    <xf numFmtId="0" fontId="6" fillId="0" borderId="32" xfId="8" applyBorder="1" applyAlignment="1">
      <alignment horizontal="center" vertical="center" wrapText="1"/>
    </xf>
    <xf numFmtId="0" fontId="6" fillId="0" borderId="35" xfId="8" applyBorder="1" applyAlignment="1">
      <alignment horizontal="center" vertical="center" wrapText="1"/>
    </xf>
    <xf numFmtId="0" fontId="6" fillId="0" borderId="0" xfId="18" applyAlignment="1">
      <alignment horizontal="center"/>
    </xf>
    <xf numFmtId="0" fontId="8" fillId="3" borderId="8" xfId="18" applyFont="1" applyFill="1" applyBorder="1" applyAlignment="1">
      <alignment horizontal="center"/>
    </xf>
    <xf numFmtId="0" fontId="13" fillId="4" borderId="2" xfId="18" applyFont="1" applyFill="1" applyBorder="1" applyAlignment="1">
      <alignment horizontal="center" vertical="center"/>
    </xf>
    <xf numFmtId="0" fontId="18" fillId="0" borderId="12" xfId="18" applyFont="1" applyBorder="1" applyAlignment="1">
      <alignment vertical="center" wrapText="1"/>
    </xf>
    <xf numFmtId="0" fontId="18" fillId="0" borderId="11" xfId="18" applyFont="1" applyBorder="1" applyAlignment="1">
      <alignment horizontal="left" vertical="center" wrapText="1"/>
    </xf>
    <xf numFmtId="0" fontId="18" fillId="10" borderId="11" xfId="18" applyFont="1" applyFill="1" applyBorder="1" applyAlignment="1">
      <alignment horizontal="center" vertical="center" wrapText="1"/>
    </xf>
    <xf numFmtId="0" fontId="18" fillId="0" borderId="13" xfId="18" applyFont="1" applyBorder="1" applyAlignment="1">
      <alignment horizontal="left" vertical="center" wrapText="1"/>
    </xf>
    <xf numFmtId="164" fontId="6" fillId="10" borderId="41" xfId="1" applyNumberFormat="1" applyFont="1" applyFill="1" applyBorder="1" applyAlignment="1">
      <alignment horizontal="center" vertical="center" wrapText="1"/>
    </xf>
    <xf numFmtId="0" fontId="6" fillId="0" borderId="10" xfId="18" applyBorder="1" applyAlignment="1">
      <alignment horizontal="left" vertical="center" wrapText="1"/>
    </xf>
    <xf numFmtId="10" fontId="6" fillId="10" borderId="41" xfId="2" applyNumberFormat="1" applyFont="1" applyFill="1" applyBorder="1" applyAlignment="1">
      <alignment horizontal="center" vertical="center" wrapText="1"/>
    </xf>
    <xf numFmtId="0" fontId="6" fillId="0" borderId="35" xfId="1" applyNumberFormat="1" applyFont="1" applyFill="1" applyBorder="1" applyAlignment="1">
      <alignment horizontal="left" vertical="center" wrapText="1"/>
    </xf>
    <xf numFmtId="17" fontId="18" fillId="0" borderId="12" xfId="18" applyNumberFormat="1" applyFont="1" applyBorder="1" applyAlignment="1">
      <alignment vertical="center" wrapText="1"/>
    </xf>
    <xf numFmtId="0" fontId="6" fillId="10" borderId="24" xfId="1" applyNumberFormat="1" applyFont="1" applyFill="1" applyBorder="1" applyAlignment="1">
      <alignment horizontal="center" vertical="center" wrapText="1"/>
    </xf>
    <xf numFmtId="37" fontId="6" fillId="10" borderId="41" xfId="1" applyNumberFormat="1" applyFont="1" applyFill="1" applyBorder="1" applyAlignment="1">
      <alignment horizontal="center" vertical="center" wrapText="1"/>
    </xf>
    <xf numFmtId="1" fontId="6" fillId="6" borderId="41" xfId="1" applyNumberFormat="1" applyFont="1" applyFill="1" applyBorder="1" applyAlignment="1">
      <alignment horizontal="left" vertical="center" wrapText="1"/>
    </xf>
    <xf numFmtId="0" fontId="18" fillId="0" borderId="4" xfId="18" applyFont="1" applyBorder="1" applyAlignment="1">
      <alignment vertical="center" wrapText="1"/>
    </xf>
    <xf numFmtId="0" fontId="18" fillId="0" borderId="14" xfId="18" applyFont="1" applyBorder="1" applyAlignment="1">
      <alignment horizontal="left" vertical="center" wrapText="1"/>
    </xf>
    <xf numFmtId="0" fontId="8" fillId="3" borderId="5" xfId="18" applyFont="1" applyFill="1" applyBorder="1" applyAlignment="1">
      <alignment horizontal="center"/>
    </xf>
    <xf numFmtId="0" fontId="6" fillId="3" borderId="7" xfId="18" applyFill="1" applyBorder="1" applyAlignment="1">
      <alignment wrapText="1"/>
    </xf>
    <xf numFmtId="0" fontId="6" fillId="3" borderId="1" xfId="18" applyFill="1" applyBorder="1" applyAlignment="1">
      <alignment wrapText="1"/>
    </xf>
    <xf numFmtId="0" fontId="6" fillId="0" borderId="0" xfId="18" applyAlignment="1">
      <alignment wrapText="1"/>
    </xf>
    <xf numFmtId="0" fontId="6" fillId="3" borderId="7" xfId="18" applyFill="1" applyBorder="1" applyAlignment="1">
      <alignment vertical="center" wrapText="1"/>
    </xf>
    <xf numFmtId="0" fontId="6" fillId="3" borderId="1" xfId="18" applyFill="1" applyBorder="1" applyAlignment="1">
      <alignment vertical="center" wrapText="1"/>
    </xf>
    <xf numFmtId="0" fontId="6" fillId="0" borderId="0" xfId="18" applyAlignment="1">
      <alignment vertical="center" wrapText="1"/>
    </xf>
    <xf numFmtId="0" fontId="6" fillId="0" borderId="1" xfId="18" applyBorder="1" applyAlignment="1">
      <alignment vertical="center" wrapText="1"/>
    </xf>
    <xf numFmtId="0" fontId="18" fillId="3" borderId="7" xfId="18" applyFont="1" applyFill="1" applyBorder="1" applyAlignment="1">
      <alignment vertical="center" wrapText="1"/>
    </xf>
    <xf numFmtId="0" fontId="18" fillId="3" borderId="1" xfId="18" applyFont="1" applyFill="1" applyBorder="1" applyAlignment="1">
      <alignment vertical="center" wrapText="1"/>
    </xf>
    <xf numFmtId="0" fontId="18" fillId="0" borderId="0" xfId="18" applyFont="1" applyAlignment="1">
      <alignment vertical="center" wrapText="1"/>
    </xf>
    <xf numFmtId="0" fontId="15" fillId="3" borderId="7" xfId="18" applyFont="1" applyFill="1" applyBorder="1" applyAlignment="1">
      <alignment wrapText="1"/>
    </xf>
    <xf numFmtId="0" fontId="15" fillId="3" borderId="1" xfId="18" applyFont="1" applyFill="1" applyBorder="1" applyAlignment="1">
      <alignment wrapText="1"/>
    </xf>
    <xf numFmtId="0" fontId="15" fillId="0" borderId="0" xfId="18" applyFont="1" applyAlignment="1">
      <alignment wrapText="1"/>
    </xf>
    <xf numFmtId="0" fontId="18" fillId="3" borderId="7" xfId="18" applyFont="1" applyFill="1" applyBorder="1" applyAlignment="1">
      <alignment wrapText="1"/>
    </xf>
    <xf numFmtId="0" fontId="18" fillId="3" borderId="1" xfId="18" applyFont="1" applyFill="1" applyBorder="1" applyAlignment="1">
      <alignment wrapText="1"/>
    </xf>
    <xf numFmtId="0" fontId="18" fillId="0" borderId="0" xfId="18" applyFont="1" applyAlignment="1">
      <alignment wrapText="1"/>
    </xf>
    <xf numFmtId="1" fontId="6" fillId="0" borderId="0" xfId="18" applyNumberFormat="1" applyAlignment="1">
      <alignment vertical="center" wrapText="1"/>
    </xf>
    <xf numFmtId="10" fontId="6" fillId="10" borderId="41" xfId="2" applyNumberFormat="1" applyFont="1" applyFill="1" applyBorder="1" applyAlignment="1">
      <alignment horizontal="left" vertical="center" wrapText="1"/>
    </xf>
    <xf numFmtId="0" fontId="0" fillId="0" borderId="7" xfId="18" applyFont="1" applyBorder="1" applyAlignment="1">
      <alignment vertical="center" wrapText="1"/>
    </xf>
    <xf numFmtId="0" fontId="0" fillId="10" borderId="24" xfId="1" applyNumberFormat="1" applyFont="1" applyFill="1" applyBorder="1" applyAlignment="1">
      <alignment horizontal="center" vertical="center" wrapText="1"/>
    </xf>
    <xf numFmtId="164" fontId="19" fillId="0" borderId="38" xfId="1" applyNumberFormat="1" applyFont="1" applyBorder="1" applyAlignment="1">
      <alignment horizontal="left" vertical="center" wrapText="1"/>
    </xf>
    <xf numFmtId="0" fontId="0" fillId="0" borderId="42" xfId="18" applyFont="1" applyBorder="1" applyAlignment="1">
      <alignment horizontal="left" vertical="center" wrapText="1"/>
    </xf>
    <xf numFmtId="0" fontId="0" fillId="0" borderId="1" xfId="18" applyFont="1" applyBorder="1" applyAlignment="1">
      <alignment vertical="center" wrapText="1"/>
    </xf>
    <xf numFmtId="0" fontId="0" fillId="0" borderId="0" xfId="18" applyFont="1" applyAlignment="1">
      <alignment vertical="center" wrapText="1"/>
    </xf>
    <xf numFmtId="9" fontId="6" fillId="6" borderId="41" xfId="2" applyFont="1" applyFill="1" applyBorder="1" applyAlignment="1">
      <alignment horizontal="left" vertical="center" wrapText="1"/>
    </xf>
    <xf numFmtId="165" fontId="6" fillId="6" borderId="21" xfId="2" applyNumberFormat="1" applyFont="1" applyFill="1" applyBorder="1" applyAlignment="1">
      <alignment horizontal="left" vertical="center" wrapText="1"/>
    </xf>
    <xf numFmtId="0" fontId="6" fillId="11" borderId="41" xfId="1" applyNumberFormat="1" applyFont="1" applyFill="1" applyBorder="1" applyAlignment="1">
      <alignment horizontal="left" vertical="center" wrapText="1"/>
    </xf>
    <xf numFmtId="165" fontId="6" fillId="11" borderId="41" xfId="1" applyNumberFormat="1" applyFont="1" applyFill="1" applyBorder="1" applyAlignment="1">
      <alignment horizontal="left" vertical="center" wrapText="1"/>
    </xf>
    <xf numFmtId="9" fontId="6" fillId="6" borderId="24" xfId="1" applyNumberFormat="1" applyFont="1" applyFill="1" applyBorder="1" applyAlignment="1">
      <alignment horizontal="left" vertical="center" wrapText="1"/>
    </xf>
    <xf numFmtId="10" fontId="6" fillId="10" borderId="24" xfId="1" applyNumberFormat="1" applyFont="1" applyFill="1" applyBorder="1" applyAlignment="1">
      <alignment horizontal="center" vertical="center" wrapText="1"/>
    </xf>
    <xf numFmtId="0" fontId="31" fillId="0" borderId="22" xfId="18" applyFont="1" applyBorder="1" applyAlignment="1">
      <alignment vertical="center" wrapText="1"/>
    </xf>
    <xf numFmtId="10" fontId="0" fillId="11" borderId="41" xfId="2" applyNumberFormat="1" applyFont="1" applyFill="1" applyBorder="1" applyAlignment="1">
      <alignment horizontal="left" vertical="center" wrapText="1"/>
    </xf>
    <xf numFmtId="0" fontId="6" fillId="11" borderId="24" xfId="1" applyNumberFormat="1" applyFont="1" applyFill="1" applyBorder="1" applyAlignment="1">
      <alignment horizontal="left" vertical="center" wrapText="1"/>
    </xf>
    <xf numFmtId="165" fontId="6" fillId="11" borderId="24" xfId="2" applyNumberFormat="1" applyFont="1" applyFill="1" applyBorder="1" applyAlignment="1">
      <alignment horizontal="left" vertical="center" wrapText="1"/>
    </xf>
    <xf numFmtId="10" fontId="6" fillId="11" borderId="41" xfId="2" applyNumberFormat="1" applyFont="1" applyFill="1" applyBorder="1" applyAlignment="1">
      <alignment horizontal="left" vertical="center" wrapText="1"/>
    </xf>
    <xf numFmtId="165" fontId="0" fillId="11" borderId="24" xfId="2" applyNumberFormat="1" applyFont="1" applyFill="1" applyBorder="1" applyAlignment="1">
      <alignment horizontal="left" vertical="center" wrapText="1"/>
    </xf>
    <xf numFmtId="3" fontId="6" fillId="11" borderId="41" xfId="1" applyNumberFormat="1" applyFont="1" applyFill="1" applyBorder="1" applyAlignment="1">
      <alignment horizontal="left" vertical="center" wrapText="1"/>
    </xf>
    <xf numFmtId="37" fontId="6" fillId="11" borderId="41" xfId="1" applyNumberFormat="1" applyFont="1" applyFill="1" applyBorder="1" applyAlignment="1">
      <alignment horizontal="left" vertical="center" wrapText="1"/>
    </xf>
    <xf numFmtId="9" fontId="6" fillId="11" borderId="24" xfId="1" applyNumberFormat="1" applyFont="1" applyFill="1" applyBorder="1" applyAlignment="1">
      <alignment horizontal="left" vertical="center" wrapText="1"/>
    </xf>
    <xf numFmtId="9" fontId="6" fillId="10" borderId="24" xfId="1" applyNumberFormat="1" applyFont="1" applyFill="1" applyBorder="1" applyAlignment="1">
      <alignment horizontal="center" vertical="center" wrapText="1"/>
    </xf>
    <xf numFmtId="165" fontId="6" fillId="6" borderId="41" xfId="2" applyNumberFormat="1" applyFont="1" applyFill="1" applyBorder="1" applyAlignment="1">
      <alignment horizontal="left" vertical="top" wrapText="1"/>
    </xf>
    <xf numFmtId="2" fontId="6" fillId="6" borderId="41" xfId="2" applyNumberFormat="1" applyFont="1" applyFill="1" applyBorder="1" applyAlignment="1">
      <alignment horizontal="left" vertical="center" wrapText="1"/>
    </xf>
    <xf numFmtId="2" fontId="6" fillId="6" borderId="24" xfId="1" applyNumberFormat="1" applyFont="1" applyFill="1" applyBorder="1" applyAlignment="1">
      <alignment horizontal="left" vertical="center" wrapText="1"/>
    </xf>
    <xf numFmtId="2" fontId="6" fillId="6" borderId="24" xfId="2" applyNumberFormat="1" applyFont="1" applyFill="1" applyBorder="1" applyAlignment="1">
      <alignment horizontal="left" vertical="center" wrapText="1"/>
    </xf>
    <xf numFmtId="17" fontId="6" fillId="3" borderId="24" xfId="18" applyNumberFormat="1" applyFill="1" applyBorder="1" applyAlignment="1">
      <alignment vertical="center"/>
    </xf>
    <xf numFmtId="165" fontId="6" fillId="6" borderId="41" xfId="2" applyNumberFormat="1" applyFont="1" applyFill="1" applyBorder="1" applyAlignment="1">
      <alignment horizontal="left" vertical="center"/>
    </xf>
    <xf numFmtId="0" fontId="6" fillId="10" borderId="24" xfId="1" applyNumberFormat="1" applyFont="1" applyFill="1" applyBorder="1" applyAlignment="1">
      <alignment horizontal="center" vertical="center"/>
    </xf>
    <xf numFmtId="0" fontId="6" fillId="0" borderId="32" xfId="1" applyNumberFormat="1" applyFont="1" applyFill="1" applyBorder="1" applyAlignment="1">
      <alignment horizontal="left" vertical="center"/>
    </xf>
    <xf numFmtId="0" fontId="6" fillId="0" borderId="25" xfId="18" applyBorder="1" applyAlignment="1">
      <alignment horizontal="left" vertical="center"/>
    </xf>
    <xf numFmtId="9" fontId="6" fillId="6" borderId="24" xfId="1" applyNumberFormat="1" applyFont="1" applyFill="1" applyBorder="1" applyAlignment="1">
      <alignment horizontal="left" vertical="center"/>
    </xf>
    <xf numFmtId="0" fontId="6" fillId="0" borderId="21" xfId="1" applyNumberFormat="1" applyFont="1" applyFill="1" applyBorder="1" applyAlignment="1">
      <alignment horizontal="left" vertical="center"/>
    </xf>
    <xf numFmtId="165" fontId="6" fillId="11" borderId="41" xfId="2" applyNumberFormat="1" applyFont="1" applyFill="1" applyBorder="1" applyAlignment="1">
      <alignment horizontal="left" vertical="center" wrapText="1"/>
    </xf>
    <xf numFmtId="0" fontId="18" fillId="10" borderId="11" xfId="18" applyFont="1" applyFill="1" applyBorder="1" applyAlignment="1">
      <alignment horizontal="center" vertical="center"/>
    </xf>
    <xf numFmtId="10" fontId="6" fillId="10" borderId="0" xfId="2" applyNumberFormat="1" applyFont="1" applyFill="1" applyBorder="1" applyAlignment="1">
      <alignment horizontal="center" vertical="center" wrapText="1"/>
    </xf>
    <xf numFmtId="3" fontId="6" fillId="10" borderId="41" xfId="1" applyNumberFormat="1" applyFont="1" applyFill="1" applyBorder="1" applyAlignment="1">
      <alignment horizontal="center" vertical="center" wrapText="1"/>
    </xf>
    <xf numFmtId="164" fontId="6" fillId="11" borderId="24" xfId="1" applyNumberFormat="1" applyFont="1" applyFill="1" applyBorder="1" applyAlignment="1">
      <alignment horizontal="left" vertical="center" wrapText="1"/>
    </xf>
    <xf numFmtId="9" fontId="6" fillId="11" borderId="24" xfId="2" applyFont="1" applyFill="1" applyBorder="1" applyAlignment="1">
      <alignment horizontal="left" vertical="center" wrapText="1"/>
    </xf>
    <xf numFmtId="17" fontId="30" fillId="0" borderId="0" xfId="0" applyNumberFormat="1" applyFont="1" applyAlignment="1">
      <alignment vertical="center"/>
    </xf>
    <xf numFmtId="164" fontId="6" fillId="9" borderId="0" xfId="1" applyNumberFormat="1" applyFont="1" applyFill="1" applyBorder="1" applyAlignment="1">
      <alignment horizontal="left" vertical="center" wrapText="1"/>
    </xf>
    <xf numFmtId="17" fontId="31" fillId="0" borderId="0" xfId="0" applyNumberFormat="1" applyFont="1" applyAlignment="1">
      <alignment vertical="center"/>
    </xf>
    <xf numFmtId="0" fontId="6" fillId="12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 wrapText="1"/>
    </xf>
    <xf numFmtId="165" fontId="0" fillId="0" borderId="0" xfId="2" applyNumberFormat="1" applyFont="1" applyBorder="1" applyAlignment="1">
      <alignment horizontal="center" vertical="center" wrapText="1"/>
    </xf>
    <xf numFmtId="164" fontId="6" fillId="6" borderId="0" xfId="1" applyNumberFormat="1" applyFont="1" applyFill="1" applyBorder="1" applyAlignment="1">
      <alignment horizontal="left" vertical="center" wrapText="1"/>
    </xf>
    <xf numFmtId="164" fontId="6" fillId="11" borderId="0" xfId="1" applyNumberFormat="1" applyFont="1" applyFill="1" applyBorder="1" applyAlignment="1">
      <alignment horizontal="left" vertical="center" wrapText="1"/>
    </xf>
    <xf numFmtId="9" fontId="6" fillId="11" borderId="0" xfId="1" applyNumberFormat="1" applyFont="1" applyFill="1" applyBorder="1" applyAlignment="1">
      <alignment horizontal="left" vertical="center" wrapText="1"/>
    </xf>
    <xf numFmtId="9" fontId="6" fillId="11" borderId="0" xfId="2" applyFont="1" applyFill="1" applyBorder="1" applyAlignment="1">
      <alignment horizontal="left" vertical="center" wrapText="1"/>
    </xf>
    <xf numFmtId="9" fontId="6" fillId="11" borderId="41" xfId="2" applyFont="1" applyFill="1" applyBorder="1" applyAlignment="1">
      <alignment horizontal="left" vertical="center" wrapText="1"/>
    </xf>
    <xf numFmtId="9" fontId="6" fillId="13" borderId="24" xfId="2" applyFont="1" applyFill="1" applyBorder="1" applyAlignment="1">
      <alignment horizontal="left" vertical="center" wrapText="1"/>
    </xf>
    <xf numFmtId="0" fontId="6" fillId="13" borderId="41" xfId="1" applyNumberFormat="1" applyFont="1" applyFill="1" applyBorder="1" applyAlignment="1">
      <alignment horizontal="left" vertical="center" wrapText="1"/>
    </xf>
    <xf numFmtId="165" fontId="6" fillId="10" borderId="41" xfId="2" applyNumberFormat="1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164" fontId="6" fillId="6" borderId="59" xfId="1" applyNumberFormat="1" applyFont="1" applyFill="1" applyBorder="1" applyAlignment="1">
      <alignment horizontal="left" vertical="center" wrapText="1"/>
    </xf>
    <xf numFmtId="165" fontId="6" fillId="0" borderId="28" xfId="2" applyNumberFormat="1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 wrapText="1"/>
    </xf>
    <xf numFmtId="17" fontId="6" fillId="0" borderId="28" xfId="0" applyNumberFormat="1" applyFont="1" applyBorder="1" applyAlignment="1">
      <alignment vertical="center" wrapText="1"/>
    </xf>
    <xf numFmtId="164" fontId="6" fillId="6" borderId="60" xfId="1" applyNumberFormat="1" applyFont="1" applyFill="1" applyBorder="1" applyAlignment="1">
      <alignment horizontal="left" vertical="center" wrapText="1"/>
    </xf>
    <xf numFmtId="164" fontId="19" fillId="0" borderId="30" xfId="1" applyNumberFormat="1" applyFont="1" applyFill="1" applyBorder="1" applyAlignment="1">
      <alignment horizontal="left" vertical="center" wrapText="1"/>
    </xf>
    <xf numFmtId="165" fontId="6" fillId="0" borderId="30" xfId="2" applyNumberFormat="1" applyFont="1" applyFill="1" applyBorder="1" applyAlignment="1">
      <alignment horizontal="center" vertical="center" wrapText="1"/>
    </xf>
    <xf numFmtId="164" fontId="6" fillId="8" borderId="50" xfId="9" applyNumberFormat="1" applyFont="1" applyFill="1" applyBorder="1" applyAlignment="1">
      <alignment vertical="center" wrapText="1"/>
    </xf>
    <xf numFmtId="165" fontId="6" fillId="0" borderId="19" xfId="2" applyNumberFormat="1" applyFont="1" applyFill="1" applyBorder="1" applyAlignment="1">
      <alignment horizontal="center" vertical="center" wrapText="1"/>
    </xf>
    <xf numFmtId="0" fontId="6" fillId="0" borderId="30" xfId="1" applyNumberFormat="1" applyFont="1" applyFill="1" applyBorder="1" applyAlignment="1">
      <alignment horizontal="left" vertical="center" wrapText="1"/>
    </xf>
    <xf numFmtId="0" fontId="17" fillId="0" borderId="4" xfId="0" applyFont="1" applyBorder="1" applyAlignment="1">
      <alignment vertical="center" wrapText="1"/>
    </xf>
    <xf numFmtId="0" fontId="17" fillId="0" borderId="14" xfId="0" applyFont="1" applyBorder="1" applyAlignment="1">
      <alignment horizontal="center" vertical="center" wrapText="1"/>
    </xf>
    <xf numFmtId="165" fontId="40" fillId="14" borderId="28" xfId="2" applyNumberFormat="1" applyFont="1" applyFill="1" applyBorder="1" applyAlignment="1">
      <alignment horizontal="center" vertical="center" wrapText="1"/>
    </xf>
    <xf numFmtId="0" fontId="40" fillId="14" borderId="29" xfId="18" applyFont="1" applyFill="1" applyBorder="1" applyAlignment="1">
      <alignment horizontal="left" vertical="center" wrapText="1"/>
    </xf>
    <xf numFmtId="0" fontId="40" fillId="14" borderId="32" xfId="18" applyFont="1" applyFill="1" applyBorder="1" applyAlignment="1">
      <alignment horizontal="center" vertical="center" wrapText="1"/>
    </xf>
    <xf numFmtId="0" fontId="21" fillId="0" borderId="12" xfId="18" applyFont="1" applyBorder="1" applyAlignment="1">
      <alignment vertical="center"/>
    </xf>
    <xf numFmtId="0" fontId="21" fillId="0" borderId="11" xfId="18" applyFont="1" applyBorder="1" applyAlignment="1">
      <alignment horizontal="center" vertical="center"/>
    </xf>
    <xf numFmtId="0" fontId="21" fillId="15" borderId="11" xfId="18" applyFont="1" applyFill="1" applyBorder="1" applyAlignment="1">
      <alignment horizontal="center" vertical="center"/>
    </xf>
    <xf numFmtId="0" fontId="21" fillId="16" borderId="11" xfId="18" applyFont="1" applyFill="1" applyBorder="1" applyAlignment="1">
      <alignment horizontal="center" vertical="center"/>
    </xf>
    <xf numFmtId="0" fontId="21" fillId="16" borderId="11" xfId="18" applyFont="1" applyFill="1" applyBorder="1" applyAlignment="1">
      <alignment horizontal="center" vertical="center" wrapText="1"/>
    </xf>
    <xf numFmtId="0" fontId="21" fillId="0" borderId="13" xfId="18" applyFont="1" applyBorder="1" applyAlignment="1">
      <alignment horizontal="center" vertical="center"/>
    </xf>
    <xf numFmtId="0" fontId="6" fillId="0" borderId="28" xfId="1" applyNumberFormat="1" applyFont="1" applyFill="1" applyBorder="1" applyAlignment="1">
      <alignment horizontal="left" vertical="center" wrapText="1"/>
    </xf>
    <xf numFmtId="165" fontId="40" fillId="0" borderId="32" xfId="2" applyNumberFormat="1" applyFont="1" applyFill="1" applyBorder="1" applyAlignment="1">
      <alignment horizontal="center" vertical="center" wrapText="1"/>
    </xf>
    <xf numFmtId="0" fontId="40" fillId="14" borderId="28" xfId="1" applyNumberFormat="1" applyFont="1" applyFill="1" applyBorder="1" applyAlignment="1">
      <alignment horizontal="center" vertical="center" wrapText="1"/>
    </xf>
    <xf numFmtId="0" fontId="23" fillId="0" borderId="0" xfId="8" applyFont="1" applyAlignment="1">
      <alignment horizontal="left" vertical="center" wrapText="1"/>
    </xf>
    <xf numFmtId="0" fontId="15" fillId="0" borderId="7" xfId="8" applyFont="1" applyBorder="1" applyAlignment="1">
      <alignment horizontal="center" vertical="center"/>
    </xf>
    <xf numFmtId="0" fontId="15" fillId="0" borderId="0" xfId="8" applyFont="1" applyAlignment="1">
      <alignment horizontal="center" vertical="center"/>
    </xf>
    <xf numFmtId="0" fontId="25" fillId="0" borderId="6" xfId="8" applyFont="1" applyBorder="1" applyAlignment="1">
      <alignment horizontal="center" vertical="center"/>
    </xf>
    <xf numFmtId="0" fontId="25" fillId="0" borderId="8" xfId="8" applyFont="1" applyBorder="1" applyAlignment="1">
      <alignment horizontal="center" vertical="center"/>
    </xf>
    <xf numFmtId="0" fontId="25" fillId="0" borderId="10" xfId="8" applyFont="1" applyBorder="1" applyAlignment="1">
      <alignment horizontal="center" vertical="center"/>
    </xf>
    <xf numFmtId="0" fontId="15" fillId="0" borderId="1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17" fontId="18" fillId="0" borderId="12" xfId="0" applyNumberFormat="1" applyFont="1" applyBorder="1" applyAlignment="1">
      <alignment horizontal="left" vertical="center" wrapText="1"/>
    </xf>
    <xf numFmtId="17" fontId="18" fillId="0" borderId="9" xfId="0" applyNumberFormat="1" applyFont="1" applyBorder="1" applyAlignment="1">
      <alignment horizontal="left" vertical="center" wrapText="1"/>
    </xf>
    <xf numFmtId="17" fontId="18" fillId="0" borderId="16" xfId="0" applyNumberFormat="1" applyFont="1" applyBorder="1" applyAlignment="1">
      <alignment horizontal="left" vertical="center" wrapText="1"/>
    </xf>
    <xf numFmtId="164" fontId="18" fillId="2" borderId="12" xfId="1" applyNumberFormat="1" applyFont="1" applyFill="1" applyBorder="1" applyAlignment="1">
      <alignment horizontal="center" vertical="center" wrapText="1"/>
    </xf>
    <xf numFmtId="164" fontId="18" fillId="2" borderId="9" xfId="1" applyNumberFormat="1" applyFont="1" applyFill="1" applyBorder="1" applyAlignment="1">
      <alignment horizontal="center" vertical="center" wrapText="1"/>
    </xf>
    <xf numFmtId="164" fontId="18" fillId="2" borderId="13" xfId="1" applyNumberFormat="1" applyFont="1" applyFill="1" applyBorder="1" applyAlignment="1">
      <alignment horizontal="center" vertical="center" wrapText="1"/>
    </xf>
    <xf numFmtId="9" fontId="16" fillId="5" borderId="12" xfId="2" applyFont="1" applyFill="1" applyBorder="1" applyAlignment="1">
      <alignment horizontal="left" vertical="center" wrapText="1"/>
    </xf>
    <xf numFmtId="9" fontId="16" fillId="5" borderId="9" xfId="2" applyFont="1" applyFill="1" applyBorder="1" applyAlignment="1">
      <alignment horizontal="left" vertical="center" wrapText="1"/>
    </xf>
    <xf numFmtId="9" fontId="16" fillId="5" borderId="13" xfId="2" applyFont="1" applyFill="1" applyBorder="1" applyAlignment="1">
      <alignment horizontal="left" vertical="center" wrapText="1"/>
    </xf>
    <xf numFmtId="9" fontId="16" fillId="5" borderId="6" xfId="2" applyFont="1" applyFill="1" applyBorder="1" applyAlignment="1">
      <alignment horizontal="left" vertical="center" wrapText="1"/>
    </xf>
    <xf numFmtId="9" fontId="16" fillId="5" borderId="8" xfId="2" applyFont="1" applyFill="1" applyBorder="1" applyAlignment="1">
      <alignment horizontal="left" vertical="center" wrapText="1"/>
    </xf>
    <xf numFmtId="9" fontId="16" fillId="5" borderId="10" xfId="2" applyFont="1" applyFill="1" applyBorder="1" applyAlignment="1">
      <alignment horizontal="left" vertical="center" wrapText="1"/>
    </xf>
    <xf numFmtId="165" fontId="18" fillId="0" borderId="33" xfId="2" applyNumberFormat="1" applyFont="1" applyFill="1" applyBorder="1" applyAlignment="1">
      <alignment horizontal="center" vertical="center" wrapText="1"/>
    </xf>
    <xf numFmtId="165" fontId="18" fillId="0" borderId="9" xfId="2" applyNumberFormat="1" applyFont="1" applyFill="1" applyBorder="1" applyAlignment="1">
      <alignment horizontal="center" vertical="center" wrapText="1"/>
    </xf>
    <xf numFmtId="165" fontId="18" fillId="0" borderId="13" xfId="2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20" fillId="3" borderId="6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 applyProtection="1">
      <alignment horizontal="center" vertical="center"/>
      <protection locked="0"/>
    </xf>
    <xf numFmtId="0" fontId="20" fillId="3" borderId="10" xfId="0" applyFont="1" applyFill="1" applyBorder="1" applyAlignment="1" applyProtection="1">
      <alignment horizontal="center" vertical="center"/>
      <protection locked="0"/>
    </xf>
    <xf numFmtId="0" fontId="20" fillId="3" borderId="4" xfId="0" applyFont="1" applyFill="1" applyBorder="1" applyAlignment="1" applyProtection="1">
      <alignment horizontal="center" vertical="center"/>
      <protection locked="0"/>
    </xf>
    <xf numFmtId="0" fontId="20" fillId="3" borderId="5" xfId="0" applyFont="1" applyFill="1" applyBorder="1" applyAlignment="1" applyProtection="1">
      <alignment horizontal="center" vertical="center"/>
      <protection locked="0"/>
    </xf>
    <xf numFmtId="0" fontId="20" fillId="3" borderId="2" xfId="0" applyFont="1" applyFill="1" applyBorder="1" applyAlignment="1" applyProtection="1">
      <alignment horizontal="center" vertical="center"/>
      <protection locked="0"/>
    </xf>
    <xf numFmtId="164" fontId="18" fillId="2" borderId="0" xfId="1" applyNumberFormat="1" applyFont="1" applyFill="1" applyBorder="1" applyAlignment="1">
      <alignment horizontal="center" vertical="center" wrapText="1"/>
    </xf>
    <xf numFmtId="164" fontId="18" fillId="2" borderId="1" xfId="1" applyNumberFormat="1" applyFont="1" applyFill="1" applyBorder="1" applyAlignment="1">
      <alignment horizontal="center" vertical="center" wrapText="1"/>
    </xf>
    <xf numFmtId="17" fontId="18" fillId="0" borderId="12" xfId="18" applyNumberFormat="1" applyFont="1" applyBorder="1" applyAlignment="1">
      <alignment horizontal="left" vertical="center" wrapText="1"/>
    </xf>
    <xf numFmtId="17" fontId="18" fillId="0" borderId="9" xfId="18" applyNumberFormat="1" applyFont="1" applyBorder="1" applyAlignment="1">
      <alignment horizontal="left" vertical="center" wrapText="1"/>
    </xf>
    <xf numFmtId="17" fontId="18" fillId="0" borderId="16" xfId="18" applyNumberFormat="1" applyFont="1" applyBorder="1" applyAlignment="1">
      <alignment horizontal="left" vertical="center" wrapText="1"/>
    </xf>
    <xf numFmtId="9" fontId="16" fillId="5" borderId="6" xfId="2" applyFont="1" applyFill="1" applyBorder="1" applyAlignment="1">
      <alignment horizontal="left" vertical="center"/>
    </xf>
    <xf numFmtId="9" fontId="16" fillId="5" borderId="8" xfId="2" applyFont="1" applyFill="1" applyBorder="1" applyAlignment="1">
      <alignment horizontal="left" vertical="center"/>
    </xf>
    <xf numFmtId="9" fontId="16" fillId="5" borderId="10" xfId="2" applyFont="1" applyFill="1" applyBorder="1" applyAlignment="1">
      <alignment horizontal="left" vertical="center"/>
    </xf>
    <xf numFmtId="0" fontId="12" fillId="4" borderId="6" xfId="18" applyFont="1" applyFill="1" applyBorder="1" applyAlignment="1">
      <alignment horizontal="left"/>
    </xf>
    <xf numFmtId="0" fontId="12" fillId="4" borderId="8" xfId="18" applyFont="1" applyFill="1" applyBorder="1" applyAlignment="1">
      <alignment horizontal="left"/>
    </xf>
    <xf numFmtId="0" fontId="20" fillId="3" borderId="6" xfId="18" applyFont="1" applyFill="1" applyBorder="1" applyAlignment="1" applyProtection="1">
      <alignment horizontal="center" vertical="center"/>
      <protection locked="0"/>
    </xf>
    <xf numFmtId="0" fontId="20" fillId="3" borderId="8" xfId="18" applyFont="1" applyFill="1" applyBorder="1" applyAlignment="1" applyProtection="1">
      <alignment horizontal="center" vertical="center"/>
      <protection locked="0"/>
    </xf>
    <xf numFmtId="0" fontId="20" fillId="3" borderId="10" xfId="18" applyFont="1" applyFill="1" applyBorder="1" applyAlignment="1" applyProtection="1">
      <alignment horizontal="center" vertical="center"/>
      <protection locked="0"/>
    </xf>
    <xf numFmtId="0" fontId="20" fillId="3" borderId="4" xfId="18" applyFont="1" applyFill="1" applyBorder="1" applyAlignment="1" applyProtection="1">
      <alignment horizontal="center" vertical="center"/>
      <protection locked="0"/>
    </xf>
    <xf numFmtId="0" fontId="20" fillId="3" borderId="5" xfId="18" applyFont="1" applyFill="1" applyBorder="1" applyAlignment="1" applyProtection="1">
      <alignment horizontal="center" vertical="center"/>
      <protection locked="0"/>
    </xf>
    <xf numFmtId="0" fontId="20" fillId="3" borderId="2" xfId="18" applyFont="1" applyFill="1" applyBorder="1" applyAlignment="1" applyProtection="1">
      <alignment horizontal="center" vertical="center"/>
      <protection locked="0"/>
    </xf>
    <xf numFmtId="164" fontId="18" fillId="2" borderId="9" xfId="1" applyNumberFormat="1" applyFont="1" applyFill="1" applyBorder="1" applyAlignment="1">
      <alignment horizontal="center" vertical="center"/>
    </xf>
    <xf numFmtId="9" fontId="16" fillId="5" borderId="12" xfId="2" applyFont="1" applyFill="1" applyBorder="1" applyAlignment="1">
      <alignment horizontal="left" vertical="center"/>
    </xf>
    <xf numFmtId="9" fontId="16" fillId="5" borderId="9" xfId="2" applyFont="1" applyFill="1" applyBorder="1" applyAlignment="1">
      <alignment horizontal="left" vertical="center"/>
    </xf>
    <xf numFmtId="164" fontId="18" fillId="2" borderId="4" xfId="1" applyNumberFormat="1" applyFont="1" applyFill="1" applyBorder="1" applyAlignment="1">
      <alignment horizontal="center" vertical="center" wrapText="1"/>
    </xf>
    <xf numFmtId="164" fontId="18" fillId="2" borderId="5" xfId="1" applyNumberFormat="1" applyFont="1" applyFill="1" applyBorder="1" applyAlignment="1">
      <alignment horizontal="center" vertical="center" wrapText="1"/>
    </xf>
    <xf numFmtId="164" fontId="18" fillId="2" borderId="2" xfId="1" applyNumberFormat="1" applyFont="1" applyFill="1" applyBorder="1" applyAlignment="1">
      <alignment horizontal="center" vertical="center" wrapText="1"/>
    </xf>
    <xf numFmtId="0" fontId="12" fillId="4" borderId="6" xfId="5" applyFont="1" applyFill="1" applyBorder="1" applyAlignment="1">
      <alignment horizontal="left"/>
    </xf>
    <xf numFmtId="0" fontId="12" fillId="4" borderId="8" xfId="5" applyFont="1" applyFill="1" applyBorder="1" applyAlignment="1">
      <alignment horizontal="left"/>
    </xf>
    <xf numFmtId="0" fontId="12" fillId="4" borderId="10" xfId="5" applyFont="1" applyFill="1" applyBorder="1" applyAlignment="1">
      <alignment horizontal="left"/>
    </xf>
    <xf numFmtId="0" fontId="12" fillId="4" borderId="7" xfId="5" applyFont="1" applyFill="1" applyBorder="1" applyAlignment="1">
      <alignment horizontal="left" vertical="center"/>
    </xf>
    <xf numFmtId="0" fontId="13" fillId="4" borderId="0" xfId="5" applyFont="1" applyFill="1" applyAlignment="1">
      <alignment horizontal="left" vertical="center"/>
    </xf>
    <xf numFmtId="0" fontId="13" fillId="4" borderId="1" xfId="5" applyFont="1" applyFill="1" applyBorder="1" applyAlignment="1">
      <alignment horizontal="left" vertical="center"/>
    </xf>
    <xf numFmtId="17" fontId="18" fillId="0" borderId="48" xfId="5" applyNumberFormat="1" applyFont="1" applyBorder="1" applyAlignment="1">
      <alignment horizontal="left" vertical="center" wrapText="1"/>
    </xf>
    <xf numFmtId="17" fontId="18" fillId="0" borderId="47" xfId="5" applyNumberFormat="1" applyFont="1" applyBorder="1" applyAlignment="1">
      <alignment horizontal="left" vertical="center" wrapText="1"/>
    </xf>
    <xf numFmtId="0" fontId="20" fillId="3" borderId="7" xfId="5" applyFont="1" applyFill="1" applyBorder="1" applyAlignment="1" applyProtection="1">
      <alignment horizontal="center" vertical="center"/>
      <protection locked="0"/>
    </xf>
    <xf numFmtId="0" fontId="20" fillId="3" borderId="0" xfId="5" applyFont="1" applyFill="1" applyAlignment="1" applyProtection="1">
      <alignment horizontal="center" vertical="center"/>
      <protection locked="0"/>
    </xf>
    <xf numFmtId="0" fontId="20" fillId="3" borderId="4" xfId="5" applyFont="1" applyFill="1" applyBorder="1" applyAlignment="1" applyProtection="1">
      <alignment horizontal="center" vertical="center"/>
      <protection locked="0"/>
    </xf>
    <xf numFmtId="0" fontId="20" fillId="3" borderId="5" xfId="5" applyFont="1" applyFill="1" applyBorder="1" applyAlignment="1" applyProtection="1">
      <alignment horizontal="center" vertical="center"/>
      <protection locked="0"/>
    </xf>
    <xf numFmtId="17" fontId="18" fillId="0" borderId="12" xfId="0" applyNumberFormat="1" applyFont="1" applyBorder="1" applyAlignment="1">
      <alignment horizontal="center" vertical="center" wrapText="1"/>
    </xf>
    <xf numFmtId="17" fontId="18" fillId="0" borderId="9" xfId="0" applyNumberFormat="1" applyFont="1" applyBorder="1" applyAlignment="1">
      <alignment horizontal="center" vertical="center" wrapText="1"/>
    </xf>
    <xf numFmtId="17" fontId="18" fillId="0" borderId="16" xfId="0" applyNumberFormat="1" applyFont="1" applyBorder="1" applyAlignment="1">
      <alignment horizontal="center" vertical="center" wrapText="1"/>
    </xf>
    <xf numFmtId="0" fontId="12" fillId="4" borderId="6" xfId="8" applyFont="1" applyFill="1" applyBorder="1" applyAlignment="1">
      <alignment horizontal="left"/>
    </xf>
    <xf numFmtId="0" fontId="12" fillId="4" borderId="8" xfId="8" applyFont="1" applyFill="1" applyBorder="1" applyAlignment="1">
      <alignment horizontal="left"/>
    </xf>
    <xf numFmtId="0" fontId="12" fillId="4" borderId="10" xfId="8" applyFont="1" applyFill="1" applyBorder="1" applyAlignment="1">
      <alignment horizontal="left"/>
    </xf>
    <xf numFmtId="0" fontId="20" fillId="3" borderId="6" xfId="8" applyFont="1" applyFill="1" applyBorder="1" applyAlignment="1" applyProtection="1">
      <alignment horizontal="center" vertical="center"/>
      <protection locked="0"/>
    </xf>
    <xf numFmtId="0" fontId="20" fillId="3" borderId="8" xfId="8" applyFont="1" applyFill="1" applyBorder="1" applyAlignment="1" applyProtection="1">
      <alignment horizontal="center" vertical="center"/>
      <protection locked="0"/>
    </xf>
    <xf numFmtId="0" fontId="20" fillId="3" borderId="10" xfId="8" applyFont="1" applyFill="1" applyBorder="1" applyAlignment="1" applyProtection="1">
      <alignment horizontal="center" vertical="center"/>
      <protection locked="0"/>
    </xf>
    <xf numFmtId="0" fontId="20" fillId="3" borderId="4" xfId="8" applyFont="1" applyFill="1" applyBorder="1" applyAlignment="1" applyProtection="1">
      <alignment horizontal="center" vertical="center"/>
      <protection locked="0"/>
    </xf>
    <xf numFmtId="0" fontId="20" fillId="3" borderId="5" xfId="8" applyFont="1" applyFill="1" applyBorder="1" applyAlignment="1" applyProtection="1">
      <alignment horizontal="center" vertical="center"/>
      <protection locked="0"/>
    </xf>
    <xf numFmtId="0" fontId="20" fillId="3" borderId="2" xfId="8" applyFont="1" applyFill="1" applyBorder="1" applyAlignment="1" applyProtection="1">
      <alignment horizontal="center" vertical="center"/>
      <protection locked="0"/>
    </xf>
    <xf numFmtId="17" fontId="18" fillId="0" borderId="12" xfId="8" applyNumberFormat="1" applyFont="1" applyBorder="1" applyAlignment="1">
      <alignment horizontal="left" vertical="center" wrapText="1"/>
    </xf>
    <xf numFmtId="17" fontId="18" fillId="0" borderId="9" xfId="8" applyNumberFormat="1" applyFont="1" applyBorder="1" applyAlignment="1">
      <alignment horizontal="left" vertical="center" wrapText="1"/>
    </xf>
    <xf numFmtId="17" fontId="18" fillId="0" borderId="16" xfId="8" applyNumberFormat="1" applyFont="1" applyBorder="1" applyAlignment="1">
      <alignment horizontal="left" vertical="center" wrapText="1"/>
    </xf>
    <xf numFmtId="164" fontId="21" fillId="2" borderId="9" xfId="1" applyNumberFormat="1" applyFont="1" applyFill="1" applyBorder="1" applyAlignment="1">
      <alignment horizontal="center" vertical="center" wrapText="1"/>
    </xf>
    <xf numFmtId="164" fontId="21" fillId="2" borderId="12" xfId="1" applyNumberFormat="1" applyFont="1" applyFill="1" applyBorder="1" applyAlignment="1">
      <alignment horizontal="center" vertical="center" wrapText="1"/>
    </xf>
    <xf numFmtId="164" fontId="21" fillId="2" borderId="13" xfId="1" applyNumberFormat="1" applyFont="1" applyFill="1" applyBorder="1" applyAlignment="1">
      <alignment horizontal="center" vertical="center" wrapText="1"/>
    </xf>
    <xf numFmtId="164" fontId="21" fillId="2" borderId="0" xfId="1" applyNumberFormat="1" applyFont="1" applyFill="1" applyBorder="1" applyAlignment="1">
      <alignment horizontal="center" vertical="center" wrapText="1"/>
    </xf>
    <xf numFmtId="164" fontId="21" fillId="2" borderId="1" xfId="1" applyNumberFormat="1" applyFont="1" applyFill="1" applyBorder="1" applyAlignment="1">
      <alignment horizontal="center" vertical="center" wrapText="1"/>
    </xf>
    <xf numFmtId="164" fontId="18" fillId="2" borderId="12" xfId="9" applyNumberFormat="1" applyFont="1" applyFill="1" applyBorder="1" applyAlignment="1">
      <alignment horizontal="center" vertical="center" wrapText="1"/>
    </xf>
    <xf numFmtId="164" fontId="18" fillId="2" borderId="9" xfId="9" applyNumberFormat="1" applyFont="1" applyFill="1" applyBorder="1" applyAlignment="1">
      <alignment horizontal="center" vertical="center" wrapText="1"/>
    </xf>
    <xf numFmtId="164" fontId="18" fillId="2" borderId="13" xfId="9" applyNumberFormat="1" applyFont="1" applyFill="1" applyBorder="1" applyAlignment="1">
      <alignment horizontal="center" vertical="center" wrapText="1"/>
    </xf>
    <xf numFmtId="164" fontId="18" fillId="2" borderId="0" xfId="9" applyNumberFormat="1" applyFont="1" applyFill="1" applyBorder="1" applyAlignment="1">
      <alignment horizontal="center" vertical="center" wrapText="1"/>
    </xf>
    <xf numFmtId="164" fontId="18" fillId="2" borderId="1" xfId="9" applyNumberFormat="1" applyFont="1" applyFill="1" applyBorder="1" applyAlignment="1">
      <alignment horizontal="center" vertical="center" wrapText="1"/>
    </xf>
    <xf numFmtId="165" fontId="18" fillId="0" borderId="33" xfId="10" applyNumberFormat="1" applyFont="1" applyFill="1" applyBorder="1" applyAlignment="1">
      <alignment horizontal="center" vertical="center" wrapText="1"/>
    </xf>
    <xf numFmtId="165" fontId="18" fillId="0" borderId="9" xfId="10" applyNumberFormat="1" applyFont="1" applyFill="1" applyBorder="1" applyAlignment="1">
      <alignment horizontal="center" vertical="center" wrapText="1"/>
    </xf>
    <xf numFmtId="165" fontId="18" fillId="0" borderId="13" xfId="10" applyNumberFormat="1" applyFont="1" applyFill="1" applyBorder="1" applyAlignment="1">
      <alignment horizontal="center" vertical="center" wrapText="1"/>
    </xf>
    <xf numFmtId="9" fontId="16" fillId="5" borderId="12" xfId="10" applyFont="1" applyFill="1" applyBorder="1" applyAlignment="1">
      <alignment horizontal="left" vertical="center" wrapText="1"/>
    </xf>
    <xf numFmtId="9" fontId="16" fillId="5" borderId="9" xfId="10" applyFont="1" applyFill="1" applyBorder="1" applyAlignment="1">
      <alignment horizontal="left" vertical="center" wrapText="1"/>
    </xf>
    <xf numFmtId="9" fontId="16" fillId="5" borderId="13" xfId="10" applyFont="1" applyFill="1" applyBorder="1" applyAlignment="1">
      <alignment horizontal="left" vertical="center" wrapText="1"/>
    </xf>
    <xf numFmtId="9" fontId="16" fillId="5" borderId="6" xfId="10" applyFont="1" applyFill="1" applyBorder="1" applyAlignment="1">
      <alignment horizontal="left" vertical="center" wrapText="1"/>
    </xf>
    <xf numFmtId="9" fontId="16" fillId="5" borderId="8" xfId="10" applyFont="1" applyFill="1" applyBorder="1" applyAlignment="1">
      <alignment horizontal="left" vertical="center" wrapText="1"/>
    </xf>
    <xf numFmtId="9" fontId="16" fillId="5" borderId="10" xfId="10" applyFont="1" applyFill="1" applyBorder="1" applyAlignment="1">
      <alignment horizontal="left" vertical="center" wrapText="1"/>
    </xf>
    <xf numFmtId="165" fontId="6" fillId="0" borderId="43" xfId="10" applyNumberFormat="1" applyFont="1" applyFill="1" applyBorder="1" applyAlignment="1">
      <alignment horizontal="center" vertical="center" wrapText="1"/>
    </xf>
    <xf numFmtId="165" fontId="6" fillId="0" borderId="3" xfId="10" applyNumberFormat="1" applyFont="1" applyFill="1" applyBorder="1" applyAlignment="1">
      <alignment horizontal="center" vertical="center" wrapText="1"/>
    </xf>
    <xf numFmtId="165" fontId="6" fillId="0" borderId="38" xfId="10" applyNumberFormat="1" applyFont="1" applyFill="1" applyBorder="1" applyAlignment="1">
      <alignment horizontal="center" vertical="center" wrapText="1"/>
    </xf>
    <xf numFmtId="0" fontId="12" fillId="4" borderId="10" xfId="18" applyFont="1" applyFill="1" applyBorder="1" applyAlignment="1">
      <alignment horizontal="left"/>
    </xf>
    <xf numFmtId="0" fontId="21" fillId="15" borderId="12" xfId="0" applyFont="1" applyFill="1" applyBorder="1" applyAlignment="1">
      <alignment horizontal="center"/>
    </xf>
    <xf numFmtId="0" fontId="21" fillId="15" borderId="9" xfId="0" applyFont="1" applyFill="1" applyBorder="1" applyAlignment="1">
      <alignment horizontal="center"/>
    </xf>
    <xf numFmtId="0" fontId="21" fillId="15" borderId="13" xfId="0" applyFont="1" applyFill="1" applyBorder="1" applyAlignment="1">
      <alignment horizontal="center"/>
    </xf>
    <xf numFmtId="0" fontId="21" fillId="16" borderId="12" xfId="0" applyFont="1" applyFill="1" applyBorder="1" applyAlignment="1">
      <alignment horizontal="center"/>
    </xf>
    <xf numFmtId="0" fontId="21" fillId="16" borderId="9" xfId="0" applyFont="1" applyFill="1" applyBorder="1" applyAlignment="1">
      <alignment horizontal="center"/>
    </xf>
    <xf numFmtId="0" fontId="21" fillId="16" borderId="13" xfId="0" applyFont="1" applyFill="1" applyBorder="1" applyAlignment="1">
      <alignment horizontal="center"/>
    </xf>
    <xf numFmtId="0" fontId="6" fillId="6" borderId="44" xfId="1" applyNumberFormat="1" applyFont="1" applyFill="1" applyBorder="1" applyAlignment="1">
      <alignment horizontal="left" vertical="center" wrapText="1"/>
    </xf>
  </cellXfs>
  <cellStyles count="21">
    <cellStyle name="Comma" xfId="1" builtinId="3"/>
    <cellStyle name="Comma 2" xfId="3" xr:uid="{00000000-0005-0000-0000-000001000000}"/>
    <cellStyle name="Comma 2 2" xfId="9" xr:uid="{00000000-0005-0000-0000-000002000000}"/>
    <cellStyle name="Comma 3" xfId="6" xr:uid="{00000000-0005-0000-0000-000003000000}"/>
    <cellStyle name="Comma 3 2" xfId="12" xr:uid="{00000000-0005-0000-0000-000004000000}"/>
    <cellStyle name="Comma 4" xfId="16" xr:uid="{871980AF-FF1F-4388-AE25-9C64128DD4CE}"/>
    <cellStyle name="Comma 5" xfId="14" xr:uid="{59485161-ACFF-4155-8FD9-C65C05ABF2EA}"/>
    <cellStyle name="Comma 5 2" xfId="15" xr:uid="{13E2DDD4-7050-441D-B1F0-6CD58B472072}"/>
    <cellStyle name="Normal" xfId="0" builtinId="0"/>
    <cellStyle name="Normal 2" xfId="5" xr:uid="{00000000-0005-0000-0000-000006000000}"/>
    <cellStyle name="Normal 2 2" xfId="11" xr:uid="{00000000-0005-0000-0000-000007000000}"/>
    <cellStyle name="Normal 2 3" xfId="18" xr:uid="{B9E3644C-5F28-49A7-865F-1628C6268E66}"/>
    <cellStyle name="Normal 3" xfId="8" xr:uid="{00000000-0005-0000-0000-000008000000}"/>
    <cellStyle name="Normal 4" xfId="20" xr:uid="{2ABFF8F0-1521-48E4-81D9-98A7D54AB4DA}"/>
    <cellStyle name="Percent" xfId="2" builtinId="5"/>
    <cellStyle name="Percent 2" xfId="4" xr:uid="{00000000-0005-0000-0000-00000A000000}"/>
    <cellStyle name="Percent 2 2" xfId="10" xr:uid="{00000000-0005-0000-0000-00000B000000}"/>
    <cellStyle name="Percent 3" xfId="7" xr:uid="{00000000-0005-0000-0000-00000C000000}"/>
    <cellStyle name="Percent 3 2" xfId="13" xr:uid="{00000000-0005-0000-0000-00000D000000}"/>
    <cellStyle name="Percent 4" xfId="17" xr:uid="{1D20B222-867E-4568-92AE-9C1908F40C8D}"/>
    <cellStyle name="Percent 5" xfId="19" xr:uid="{19E76D5E-43C8-44A6-A7EA-04BF85043AB8}"/>
  </cellStyles>
  <dxfs count="72"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8F04-C040-4472-B402-84020E5367FC}">
  <sheetPr codeName="Sheet1"/>
  <dimension ref="B2:J42"/>
  <sheetViews>
    <sheetView zoomScale="110" zoomScaleNormal="110" workbookViewId="0">
      <selection activeCell="D15" sqref="D15"/>
    </sheetView>
  </sheetViews>
  <sheetFormatPr defaultColWidth="9.21875" defaultRowHeight="13.2" x14ac:dyDescent="0.25"/>
  <cols>
    <col min="1" max="1" width="11.44140625" style="88" customWidth="1"/>
    <col min="2" max="2" width="12.21875" style="88" customWidth="1"/>
    <col min="3" max="3" width="13.44140625" style="88" customWidth="1"/>
    <col min="4" max="4" width="5.21875" style="88" customWidth="1"/>
    <col min="5" max="5" width="14.21875" style="88" customWidth="1"/>
    <col min="6" max="6" width="13.77734375" style="88" customWidth="1"/>
    <col min="7" max="7" width="6.5546875" style="88" customWidth="1"/>
    <col min="8" max="8" width="14.5546875" style="88" customWidth="1"/>
    <col min="9" max="9" width="63.5546875" style="88" customWidth="1"/>
    <col min="10" max="10" width="52.5546875" style="88" customWidth="1"/>
    <col min="11" max="16384" width="9.21875" style="88"/>
  </cols>
  <sheetData>
    <row r="2" spans="2:10" ht="21" x14ac:dyDescent="0.25">
      <c r="B2" s="774" t="s">
        <v>0</v>
      </c>
      <c r="C2" s="774"/>
    </row>
    <row r="3" spans="2:10" ht="13.8" thickBot="1" x14ac:dyDescent="0.3"/>
    <row r="4" spans="2:10" ht="28.35" customHeight="1" x14ac:dyDescent="0.25">
      <c r="B4" s="770" t="s">
        <v>1</v>
      </c>
      <c r="C4" s="771"/>
      <c r="D4" s="771"/>
      <c r="E4" s="771"/>
      <c r="F4" s="772"/>
      <c r="H4" s="770" t="s">
        <v>2</v>
      </c>
      <c r="I4" s="771"/>
      <c r="J4" s="772"/>
    </row>
    <row r="5" spans="2:10" ht="20.100000000000001" customHeight="1" x14ac:dyDescent="0.25">
      <c r="B5" s="104" t="s">
        <v>3</v>
      </c>
      <c r="C5" s="102" t="s">
        <v>1</v>
      </c>
      <c r="D5" s="102"/>
      <c r="E5" s="102" t="s">
        <v>3</v>
      </c>
      <c r="F5" s="103" t="s">
        <v>1</v>
      </c>
      <c r="H5" s="104" t="s">
        <v>4</v>
      </c>
      <c r="I5" s="102" t="s">
        <v>5</v>
      </c>
      <c r="J5" s="103" t="s">
        <v>6</v>
      </c>
    </row>
    <row r="6" spans="2:10" ht="20.100000000000001" customHeight="1" x14ac:dyDescent="0.25">
      <c r="B6" s="768" t="s">
        <v>7</v>
      </c>
      <c r="C6" s="769"/>
      <c r="D6" s="102"/>
      <c r="E6" s="769" t="s">
        <v>8</v>
      </c>
      <c r="F6" s="773"/>
      <c r="H6" s="94" t="s">
        <v>9</v>
      </c>
      <c r="I6" s="767" t="s">
        <v>10</v>
      </c>
      <c r="J6" s="92" t="s">
        <v>11</v>
      </c>
    </row>
    <row r="7" spans="2:10" ht="20.100000000000001" customHeight="1" x14ac:dyDescent="0.25">
      <c r="B7" s="94" t="s">
        <v>9</v>
      </c>
      <c r="C7" s="101">
        <v>0.5</v>
      </c>
      <c r="D7" s="100"/>
      <c r="E7" s="100" t="s">
        <v>9</v>
      </c>
      <c r="F7" s="99">
        <v>0.3</v>
      </c>
      <c r="H7" s="94" t="s">
        <v>12</v>
      </c>
      <c r="I7" s="767"/>
      <c r="J7" s="92" t="s">
        <v>13</v>
      </c>
    </row>
    <row r="8" spans="2:10" ht="20.100000000000001" customHeight="1" x14ac:dyDescent="0.25">
      <c r="B8" s="94" t="s">
        <v>12</v>
      </c>
      <c r="C8" s="101">
        <v>0.2</v>
      </c>
      <c r="D8" s="100"/>
      <c r="E8" s="100" t="s">
        <v>12</v>
      </c>
      <c r="F8" s="99">
        <v>0.3</v>
      </c>
      <c r="H8" s="94" t="s">
        <v>14</v>
      </c>
      <c r="I8" s="767"/>
      <c r="J8" s="92" t="s">
        <v>15</v>
      </c>
    </row>
    <row r="9" spans="2:10" ht="20.100000000000001" customHeight="1" x14ac:dyDescent="0.25">
      <c r="B9" s="94" t="s">
        <v>14</v>
      </c>
      <c r="C9" s="101">
        <v>0.2</v>
      </c>
      <c r="D9" s="100"/>
      <c r="E9" s="100" t="s">
        <v>14</v>
      </c>
      <c r="F9" s="99">
        <v>0.3</v>
      </c>
      <c r="H9" s="94" t="s">
        <v>16</v>
      </c>
      <c r="I9" s="767" t="s">
        <v>17</v>
      </c>
      <c r="J9" s="92" t="s">
        <v>18</v>
      </c>
    </row>
    <row r="10" spans="2:10" ht="20.100000000000001" customHeight="1" x14ac:dyDescent="0.25">
      <c r="B10" s="94" t="s">
        <v>16</v>
      </c>
      <c r="C10" s="101">
        <v>0.1</v>
      </c>
      <c r="D10" s="100"/>
      <c r="E10" s="100" t="s">
        <v>16</v>
      </c>
      <c r="F10" s="99">
        <v>0.1</v>
      </c>
      <c r="H10" s="94"/>
      <c r="I10" s="767"/>
      <c r="J10" s="92" t="s">
        <v>19</v>
      </c>
    </row>
    <row r="11" spans="2:10" ht="20.100000000000001" customHeight="1" thickBot="1" x14ac:dyDescent="0.3">
      <c r="B11" s="98" t="s">
        <v>20</v>
      </c>
      <c r="C11" s="97"/>
      <c r="D11" s="97"/>
      <c r="E11" s="97"/>
      <c r="F11" s="96"/>
      <c r="H11" s="94"/>
      <c r="I11" s="767"/>
      <c r="J11" s="92" t="s">
        <v>21</v>
      </c>
    </row>
    <row r="12" spans="2:10" ht="20.100000000000001" customHeight="1" x14ac:dyDescent="0.25">
      <c r="H12" s="94"/>
      <c r="J12" s="92" t="s">
        <v>22</v>
      </c>
    </row>
    <row r="13" spans="2:10" ht="20.100000000000001" customHeight="1" x14ac:dyDescent="0.25">
      <c r="H13" s="94"/>
      <c r="J13" s="92" t="s">
        <v>23</v>
      </c>
    </row>
    <row r="14" spans="2:10" ht="20.100000000000001" customHeight="1" x14ac:dyDescent="0.25">
      <c r="H14" s="94"/>
      <c r="J14" s="92" t="s">
        <v>24</v>
      </c>
    </row>
    <row r="15" spans="2:10" ht="20.100000000000001" customHeight="1" x14ac:dyDescent="0.25">
      <c r="H15" s="94"/>
      <c r="I15" s="95" t="s">
        <v>25</v>
      </c>
      <c r="J15" s="92" t="s">
        <v>26</v>
      </c>
    </row>
    <row r="16" spans="2:10" ht="20.100000000000001" customHeight="1" x14ac:dyDescent="0.25">
      <c r="H16" s="94"/>
      <c r="I16" s="93" t="s">
        <v>27</v>
      </c>
      <c r="J16" s="92" t="s">
        <v>28</v>
      </c>
    </row>
    <row r="17" spans="8:10" ht="24" customHeight="1" thickBot="1" x14ac:dyDescent="0.3">
      <c r="H17" s="91"/>
      <c r="I17" s="90" t="s">
        <v>29</v>
      </c>
      <c r="J17" s="89" t="s">
        <v>30</v>
      </c>
    </row>
    <row r="18" spans="8:10" ht="20.100000000000001" customHeight="1" x14ac:dyDescent="0.25"/>
    <row r="19" spans="8:10" ht="20.100000000000001" customHeight="1" x14ac:dyDescent="0.25"/>
    <row r="20" spans="8:10" ht="20.100000000000001" customHeight="1" x14ac:dyDescent="0.25"/>
    <row r="21" spans="8:10" ht="20.100000000000001" customHeight="1" x14ac:dyDescent="0.25"/>
    <row r="22" spans="8:10" ht="20.100000000000001" customHeight="1" x14ac:dyDescent="0.25"/>
    <row r="23" spans="8:10" ht="20.100000000000001" customHeight="1" x14ac:dyDescent="0.25"/>
    <row r="24" spans="8:10" ht="20.100000000000001" customHeight="1" x14ac:dyDescent="0.25"/>
    <row r="25" spans="8:10" ht="20.100000000000001" customHeight="1" x14ac:dyDescent="0.25"/>
    <row r="26" spans="8:10" ht="20.100000000000001" customHeight="1" x14ac:dyDescent="0.25"/>
    <row r="27" spans="8:10" ht="20.100000000000001" customHeight="1" x14ac:dyDescent="0.25"/>
    <row r="28" spans="8:10" ht="20.100000000000001" customHeight="1" x14ac:dyDescent="0.25"/>
    <row r="29" spans="8:10" ht="20.100000000000001" customHeight="1" x14ac:dyDescent="0.25"/>
    <row r="30" spans="8:10" ht="20.100000000000001" customHeight="1" x14ac:dyDescent="0.25"/>
    <row r="31" spans="8:10" ht="20.100000000000001" customHeight="1" x14ac:dyDescent="0.25"/>
    <row r="32" spans="8:10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</sheetData>
  <mergeCells count="7">
    <mergeCell ref="I9:I11"/>
    <mergeCell ref="B6:C6"/>
    <mergeCell ref="B4:F4"/>
    <mergeCell ref="E6:F6"/>
    <mergeCell ref="B2:C2"/>
    <mergeCell ref="H4:J4"/>
    <mergeCell ref="I6:I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O30"/>
  <sheetViews>
    <sheetView tabSelected="1" zoomScale="80" zoomScaleNormal="80" zoomScaleSheetLayoutView="100" workbookViewId="0">
      <selection activeCell="I32" sqref="I32"/>
    </sheetView>
  </sheetViews>
  <sheetFormatPr defaultColWidth="8.77734375" defaultRowHeight="13.2" x14ac:dyDescent="0.25"/>
  <cols>
    <col min="1" max="2" width="1.5546875" customWidth="1"/>
    <col min="3" max="3" width="72.44140625" customWidth="1"/>
    <col min="4" max="4" width="14.44140625" customWidth="1"/>
    <col min="5" max="5" width="71.44140625" style="5" customWidth="1"/>
    <col min="6" max="6" width="22" style="42" customWidth="1"/>
    <col min="7" max="7" width="19.44140625" style="5" customWidth="1"/>
    <col min="8" max="8" width="19.5546875" style="5" customWidth="1"/>
    <col min="9" max="9" width="27.21875" style="5" customWidth="1"/>
    <col min="10" max="10" width="2.5546875" customWidth="1"/>
    <col min="11" max="11" width="11.21875" bestFit="1" customWidth="1"/>
    <col min="12" max="12" width="11.44140625" customWidth="1"/>
    <col min="13" max="13" width="11.77734375" customWidth="1"/>
    <col min="15" max="15" width="22.5546875" bestFit="1" customWidth="1"/>
  </cols>
  <sheetData>
    <row r="1" spans="2:15" ht="13.8" thickBot="1" x14ac:dyDescent="0.3"/>
    <row r="2" spans="2:15" s="1" customFormat="1" ht="10.35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5" s="2" customFormat="1" ht="24.6" x14ac:dyDescent="0.4">
      <c r="B3" s="14"/>
      <c r="C3" s="790" t="s">
        <v>32</v>
      </c>
      <c r="D3" s="791"/>
      <c r="E3" s="792"/>
      <c r="F3" s="793" t="s">
        <v>33</v>
      </c>
      <c r="G3" s="794"/>
      <c r="H3" s="794"/>
      <c r="I3" s="795"/>
      <c r="J3" s="26"/>
    </row>
    <row r="4" spans="2:15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5" s="3" customFormat="1" ht="23.4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5" s="4" customFormat="1" ht="28.2" thickBot="1" x14ac:dyDescent="0.3">
      <c r="B6" s="108"/>
      <c r="C6" s="206" t="s">
        <v>36</v>
      </c>
      <c r="D6" s="207" t="s">
        <v>37</v>
      </c>
      <c r="E6" s="207" t="s">
        <v>38</v>
      </c>
      <c r="F6" s="207" t="s">
        <v>39</v>
      </c>
      <c r="G6" s="207" t="s">
        <v>40</v>
      </c>
      <c r="H6" s="207" t="s">
        <v>41</v>
      </c>
      <c r="I6" s="208" t="s">
        <v>42</v>
      </c>
      <c r="J6" s="109"/>
      <c r="K6" s="41"/>
      <c r="L6" s="41"/>
      <c r="M6" s="41"/>
      <c r="N6" s="41"/>
      <c r="O6" s="41"/>
    </row>
    <row r="7" spans="2:15" s="4" customFormat="1" ht="15" customHeight="1" x14ac:dyDescent="0.25">
      <c r="B7" s="108"/>
      <c r="C7" s="59" t="s">
        <v>43</v>
      </c>
      <c r="D7" s="39">
        <v>0.25</v>
      </c>
      <c r="E7" s="58" t="s">
        <v>44</v>
      </c>
      <c r="F7" s="71"/>
      <c r="G7" s="79">
        <v>0</v>
      </c>
      <c r="H7" s="60">
        <f>G7*D7</f>
        <v>0</v>
      </c>
      <c r="I7" s="84" t="s">
        <v>45</v>
      </c>
      <c r="J7" s="109"/>
      <c r="K7" s="41"/>
      <c r="L7" s="41"/>
      <c r="M7" s="41"/>
      <c r="N7" s="41"/>
      <c r="O7" s="41"/>
    </row>
    <row r="8" spans="2:15" s="33" customFormat="1" ht="15" customHeight="1" x14ac:dyDescent="0.25">
      <c r="B8" s="112"/>
      <c r="C8" s="75" t="s">
        <v>46</v>
      </c>
      <c r="D8" s="51">
        <v>0.15</v>
      </c>
      <c r="E8" s="85">
        <v>0.16300000000000001</v>
      </c>
      <c r="F8" s="46"/>
      <c r="G8" s="79">
        <v>0</v>
      </c>
      <c r="H8" s="51">
        <f t="shared" ref="H8:H9" si="0">G8*D8</f>
        <v>0</v>
      </c>
      <c r="I8" s="81"/>
      <c r="J8" s="116"/>
      <c r="K8" s="117"/>
      <c r="L8" s="136"/>
      <c r="M8" s="117"/>
      <c r="N8" s="137"/>
      <c r="O8" s="117"/>
    </row>
    <row r="9" spans="2:15" s="33" customFormat="1" ht="15" customHeight="1" thickBot="1" x14ac:dyDescent="0.3">
      <c r="B9" s="112"/>
      <c r="C9" s="106" t="s">
        <v>47</v>
      </c>
      <c r="D9" s="53">
        <v>0.1</v>
      </c>
      <c r="E9" s="107" t="s">
        <v>48</v>
      </c>
      <c r="F9" s="47"/>
      <c r="G9" s="80">
        <v>0</v>
      </c>
      <c r="H9" s="53">
        <f t="shared" si="0"/>
        <v>0</v>
      </c>
      <c r="I9" s="105"/>
      <c r="J9" s="116"/>
      <c r="K9" s="117"/>
      <c r="L9" s="142"/>
      <c r="M9" s="142"/>
      <c r="N9" s="143"/>
      <c r="O9" s="144"/>
    </row>
    <row r="10" spans="2:15" s="23" customFormat="1" ht="15" customHeight="1" thickBot="1" x14ac:dyDescent="0.3">
      <c r="B10" s="21"/>
      <c r="C10" s="27" t="s">
        <v>49</v>
      </c>
      <c r="D10" s="30">
        <f>SUM(D7:D9)</f>
        <v>0.5</v>
      </c>
      <c r="E10" s="778"/>
      <c r="F10" s="779"/>
      <c r="G10" s="780"/>
      <c r="H10" s="82">
        <f>SUM(H7:H9)</f>
        <v>0</v>
      </c>
      <c r="I10" s="28"/>
      <c r="J10" s="22"/>
      <c r="L10" s="70"/>
      <c r="M10" s="61"/>
    </row>
    <row r="11" spans="2:15" s="3" customFormat="1" ht="15" customHeight="1" thickBot="1" x14ac:dyDescent="0.35">
      <c r="B11" s="15"/>
      <c r="C11" s="781" t="s">
        <v>50</v>
      </c>
      <c r="D11" s="782"/>
      <c r="E11" s="782"/>
      <c r="F11" s="782"/>
      <c r="G11" s="782"/>
      <c r="H11" s="782"/>
      <c r="I11" s="783"/>
      <c r="J11" s="6"/>
      <c r="L11" s="63"/>
      <c r="M11" s="64"/>
    </row>
    <row r="12" spans="2:15" s="4" customFormat="1" ht="28.2" thickBot="1" x14ac:dyDescent="0.3">
      <c r="B12" s="108"/>
      <c r="C12" s="206" t="s">
        <v>36</v>
      </c>
      <c r="D12" s="207" t="s">
        <v>37</v>
      </c>
      <c r="E12" s="208" t="s">
        <v>38</v>
      </c>
      <c r="F12" s="207" t="s">
        <v>39</v>
      </c>
      <c r="G12" s="207" t="s">
        <v>40</v>
      </c>
      <c r="H12" s="207" t="s">
        <v>41</v>
      </c>
      <c r="I12" s="208" t="s">
        <v>42</v>
      </c>
      <c r="J12" s="109"/>
      <c r="K12" s="41"/>
      <c r="L12" s="41"/>
      <c r="M12" s="41"/>
      <c r="N12" s="41"/>
      <c r="O12" s="41"/>
    </row>
    <row r="13" spans="2:15" s="4" customFormat="1" ht="13.8" x14ac:dyDescent="0.25">
      <c r="B13" s="123"/>
      <c r="C13" s="48" t="s">
        <v>51</v>
      </c>
      <c r="D13" s="49">
        <v>0.1</v>
      </c>
      <c r="E13" s="57" t="s">
        <v>52</v>
      </c>
      <c r="F13" s="76"/>
      <c r="G13" s="51">
        <v>0</v>
      </c>
      <c r="H13" s="72">
        <f t="shared" ref="H13:H14" si="1">G13*D13</f>
        <v>0</v>
      </c>
      <c r="I13" s="73"/>
      <c r="J13" s="124"/>
      <c r="K13" s="41"/>
      <c r="L13" s="70"/>
      <c r="M13" s="70"/>
      <c r="N13" s="41"/>
      <c r="O13" s="41"/>
    </row>
    <row r="14" spans="2:15" s="4" customFormat="1" ht="14.4" thickBot="1" x14ac:dyDescent="0.3">
      <c r="B14" s="123"/>
      <c r="C14" s="50" t="s">
        <v>53</v>
      </c>
      <c r="D14" s="51">
        <v>0.1</v>
      </c>
      <c r="E14" s="77" t="s">
        <v>54</v>
      </c>
      <c r="F14" s="74"/>
      <c r="G14" s="51">
        <v>0</v>
      </c>
      <c r="H14" s="51">
        <f t="shared" si="1"/>
        <v>0</v>
      </c>
      <c r="I14" s="78"/>
      <c r="J14" s="124"/>
      <c r="K14" s="41"/>
      <c r="L14" s="70"/>
      <c r="M14" s="70"/>
      <c r="N14" s="41"/>
      <c r="O14" s="41"/>
    </row>
    <row r="15" spans="2:15" s="20" customFormat="1" ht="15" customHeight="1" thickBot="1" x14ac:dyDescent="0.3">
      <c r="B15" s="18"/>
      <c r="C15" s="27" t="s">
        <v>55</v>
      </c>
      <c r="D15" s="30">
        <f>SUM(D13:D14)</f>
        <v>0.2</v>
      </c>
      <c r="E15" s="778"/>
      <c r="F15" s="779"/>
      <c r="G15" s="780"/>
      <c r="H15" s="62">
        <f>SUM(H13:H14)</f>
        <v>0</v>
      </c>
      <c r="I15" s="28"/>
      <c r="J15" s="19"/>
      <c r="L15" s="41"/>
      <c r="M15" s="146"/>
      <c r="N15" s="41"/>
    </row>
    <row r="16" spans="2:15" s="3" customFormat="1" ht="15" customHeight="1" thickBot="1" x14ac:dyDescent="0.35">
      <c r="B16" s="15"/>
      <c r="C16" s="781" t="s">
        <v>56</v>
      </c>
      <c r="D16" s="782"/>
      <c r="E16" s="782"/>
      <c r="F16" s="782"/>
      <c r="G16" s="782"/>
      <c r="H16" s="782"/>
      <c r="I16" s="783"/>
      <c r="J16" s="6"/>
      <c r="L16" s="41"/>
      <c r="M16" s="41"/>
      <c r="N16" s="41"/>
    </row>
    <row r="17" spans="2:15" s="4" customFormat="1" ht="28.2" thickBot="1" x14ac:dyDescent="0.3">
      <c r="B17" s="108"/>
      <c r="C17" s="206" t="s">
        <v>36</v>
      </c>
      <c r="D17" s="207" t="s">
        <v>37</v>
      </c>
      <c r="E17" s="208" t="s">
        <v>38</v>
      </c>
      <c r="F17" s="207" t="s">
        <v>39</v>
      </c>
      <c r="G17" s="207" t="s">
        <v>40</v>
      </c>
      <c r="H17" s="207" t="s">
        <v>41</v>
      </c>
      <c r="I17" s="208" t="s">
        <v>42</v>
      </c>
      <c r="J17" s="109"/>
      <c r="K17" s="41"/>
      <c r="L17" s="20"/>
      <c r="M17" s="20"/>
      <c r="N17" s="20"/>
      <c r="O17" s="41"/>
    </row>
    <row r="18" spans="2:15" ht="15" customHeight="1" x14ac:dyDescent="0.3">
      <c r="B18" s="34"/>
      <c r="C18" s="48" t="s">
        <v>57</v>
      </c>
      <c r="D18" s="49">
        <v>0.05</v>
      </c>
      <c r="E18" s="86" t="s">
        <v>58</v>
      </c>
      <c r="F18" s="54"/>
      <c r="G18" s="51">
        <v>0</v>
      </c>
      <c r="H18" s="60">
        <f t="shared" ref="H18:H19" si="2">G18*D18</f>
        <v>0</v>
      </c>
      <c r="I18" s="83"/>
      <c r="J18" s="35"/>
      <c r="L18" s="3"/>
      <c r="M18" s="3"/>
      <c r="N18" s="3"/>
    </row>
    <row r="19" spans="2:15" ht="15" customHeight="1" x14ac:dyDescent="0.3">
      <c r="B19" s="34"/>
      <c r="C19" s="50" t="s">
        <v>59</v>
      </c>
      <c r="D19" s="51">
        <v>0.05</v>
      </c>
      <c r="E19" s="86" t="s">
        <v>60</v>
      </c>
      <c r="F19" s="55"/>
      <c r="G19" s="51">
        <v>0</v>
      </c>
      <c r="H19" s="51">
        <f t="shared" si="2"/>
        <v>0</v>
      </c>
      <c r="I19" s="105"/>
      <c r="J19" s="35"/>
      <c r="L19" s="3"/>
      <c r="M19" s="3"/>
      <c r="N19" s="3"/>
    </row>
    <row r="20" spans="2:15" ht="15" customHeight="1" x14ac:dyDescent="0.3">
      <c r="B20" s="34"/>
      <c r="C20" s="50" t="s">
        <v>61</v>
      </c>
      <c r="D20" s="51">
        <v>0.05</v>
      </c>
      <c r="E20" s="382">
        <v>88</v>
      </c>
      <c r="F20" s="55"/>
      <c r="G20" s="51">
        <v>0</v>
      </c>
      <c r="H20" s="51">
        <v>0</v>
      </c>
      <c r="I20" s="105"/>
      <c r="J20" s="35"/>
      <c r="L20" s="3"/>
      <c r="M20" s="3"/>
      <c r="N20" s="3"/>
    </row>
    <row r="21" spans="2:15" ht="15" customHeight="1" thickBot="1" x14ac:dyDescent="0.35">
      <c r="B21" s="34"/>
      <c r="C21" s="50" t="s">
        <v>62</v>
      </c>
      <c r="D21" s="51">
        <v>0.05</v>
      </c>
      <c r="E21" s="382">
        <v>73</v>
      </c>
      <c r="F21" s="55"/>
      <c r="G21" s="51">
        <v>0</v>
      </c>
      <c r="H21" s="51">
        <v>0</v>
      </c>
      <c r="I21" s="105"/>
      <c r="J21" s="35"/>
      <c r="L21" s="3"/>
      <c r="M21" s="3"/>
      <c r="N21" s="3"/>
    </row>
    <row r="22" spans="2:15" s="20" customFormat="1" ht="15" customHeight="1" thickBot="1" x14ac:dyDescent="0.3">
      <c r="B22" s="18"/>
      <c r="C22" s="27" t="s">
        <v>63</v>
      </c>
      <c r="D22" s="30">
        <f>SUM(D18:D21)</f>
        <v>0.2</v>
      </c>
      <c r="E22" s="778"/>
      <c r="F22" s="779"/>
      <c r="G22" s="780"/>
      <c r="H22" s="29">
        <f>SUM(H18:H21)</f>
        <v>0</v>
      </c>
      <c r="I22" s="28"/>
      <c r="J22" s="19"/>
    </row>
    <row r="23" spans="2:15" s="3" customFormat="1" ht="16.2" thickBot="1" x14ac:dyDescent="0.35">
      <c r="B23" s="15"/>
      <c r="C23" s="784" t="s">
        <v>64</v>
      </c>
      <c r="D23" s="785"/>
      <c r="E23" s="785"/>
      <c r="F23" s="785"/>
      <c r="G23" s="785"/>
      <c r="H23" s="785"/>
      <c r="I23" s="786"/>
      <c r="J23" s="6"/>
    </row>
    <row r="24" spans="2:15" s="4" customFormat="1" ht="28.2" thickBot="1" x14ac:dyDescent="0.3">
      <c r="B24" s="108"/>
      <c r="C24" s="209" t="s">
        <v>36</v>
      </c>
      <c r="D24" s="207" t="s">
        <v>37</v>
      </c>
      <c r="E24" s="208" t="s">
        <v>38</v>
      </c>
      <c r="F24" s="207" t="s">
        <v>39</v>
      </c>
      <c r="G24" s="207" t="s">
        <v>40</v>
      </c>
      <c r="H24" s="207" t="s">
        <v>41</v>
      </c>
      <c r="I24" s="210" t="s">
        <v>42</v>
      </c>
      <c r="J24" s="109"/>
      <c r="K24" s="41"/>
      <c r="L24" s="151"/>
      <c r="M24" s="41"/>
      <c r="N24" s="41"/>
      <c r="O24" s="41"/>
    </row>
    <row r="25" spans="2:15" s="4" customFormat="1" ht="26.4" x14ac:dyDescent="0.25">
      <c r="B25" s="108"/>
      <c r="C25" s="56" t="s">
        <v>65</v>
      </c>
      <c r="D25" s="51">
        <v>0.05</v>
      </c>
      <c r="E25" s="86" t="s">
        <v>66</v>
      </c>
      <c r="F25" s="55"/>
      <c r="G25" s="51">
        <v>0</v>
      </c>
      <c r="H25" s="51">
        <f t="shared" ref="H25:H26" si="3">G25*D25</f>
        <v>0</v>
      </c>
      <c r="I25" s="52" t="s">
        <v>67</v>
      </c>
      <c r="J25" s="109"/>
      <c r="K25" s="131"/>
      <c r="L25" s="41"/>
      <c r="M25" s="151"/>
      <c r="N25" s="151"/>
      <c r="O25" s="146"/>
    </row>
    <row r="26" spans="2:15" s="4" customFormat="1" ht="15" customHeight="1" thickBot="1" x14ac:dyDescent="0.3">
      <c r="B26" s="108"/>
      <c r="C26" s="56" t="s">
        <v>68</v>
      </c>
      <c r="D26" s="51">
        <v>0.05</v>
      </c>
      <c r="E26" s="87">
        <v>0.2</v>
      </c>
      <c r="F26" s="55"/>
      <c r="G26" s="51">
        <v>0</v>
      </c>
      <c r="H26" s="51">
        <f t="shared" si="3"/>
        <v>0</v>
      </c>
      <c r="I26" s="52" t="s">
        <v>868</v>
      </c>
      <c r="J26" s="109"/>
      <c r="K26" s="131"/>
      <c r="L26" s="41"/>
      <c r="M26" s="151"/>
      <c r="N26" s="151"/>
      <c r="O26" s="146"/>
    </row>
    <row r="27" spans="2:15" s="20" customFormat="1" ht="15" customHeight="1" thickBot="1" x14ac:dyDescent="0.3">
      <c r="B27" s="18"/>
      <c r="C27" s="27" t="s">
        <v>70</v>
      </c>
      <c r="D27" s="30">
        <f>SUM(D25:D26)</f>
        <v>0.1</v>
      </c>
      <c r="E27" s="778"/>
      <c r="F27" s="779"/>
      <c r="G27" s="780"/>
      <c r="H27" s="62">
        <f>SUM(H25:H26)</f>
        <v>0</v>
      </c>
      <c r="I27" s="40"/>
      <c r="J27" s="19"/>
      <c r="L27" s="67"/>
      <c r="M27" s="65"/>
    </row>
    <row r="28" spans="2:15" s="20" customFormat="1" ht="15" customHeight="1" thickBot="1" x14ac:dyDescent="0.3">
      <c r="B28" s="18"/>
      <c r="C28" s="36" t="s">
        <v>71</v>
      </c>
      <c r="D28" s="37">
        <f>D27+D22+D15+D10</f>
        <v>1</v>
      </c>
      <c r="E28" s="778"/>
      <c r="F28" s="779"/>
      <c r="G28" s="779"/>
      <c r="H28" s="779"/>
      <c r="I28" s="780"/>
      <c r="J28" s="19"/>
      <c r="L28" s="69"/>
      <c r="M28" s="66"/>
    </row>
    <row r="29" spans="2:15" s="20" customFormat="1" ht="15" customHeight="1" thickBot="1" x14ac:dyDescent="0.3">
      <c r="B29" s="18"/>
      <c r="C29" s="775" t="s">
        <v>72</v>
      </c>
      <c r="D29" s="776"/>
      <c r="E29" s="776"/>
      <c r="F29" s="777"/>
      <c r="G29" s="787">
        <f>H27+H22+H15+H10</f>
        <v>0</v>
      </c>
      <c r="H29" s="788"/>
      <c r="I29" s="789"/>
      <c r="J29" s="19"/>
      <c r="M29" s="67"/>
    </row>
    <row r="30" spans="2:15" ht="15" customHeight="1" thickBot="1" x14ac:dyDescent="0.5">
      <c r="B30" s="8"/>
      <c r="C30" s="9"/>
      <c r="D30" s="9"/>
      <c r="E30" s="10"/>
      <c r="F30" s="44"/>
      <c r="G30" s="11"/>
      <c r="H30" s="11"/>
      <c r="I30" s="12"/>
      <c r="J30" s="7"/>
      <c r="M30" s="68"/>
    </row>
  </sheetData>
  <mergeCells count="14">
    <mergeCell ref="E10:G10"/>
    <mergeCell ref="E15:G15"/>
    <mergeCell ref="E22:G22"/>
    <mergeCell ref="C3:E3"/>
    <mergeCell ref="C5:I5"/>
    <mergeCell ref="F3:I3"/>
    <mergeCell ref="F4:I4"/>
    <mergeCell ref="C29:F29"/>
    <mergeCell ref="E27:G27"/>
    <mergeCell ref="E28:I28"/>
    <mergeCell ref="C11:I11"/>
    <mergeCell ref="C16:I16"/>
    <mergeCell ref="C23:I23"/>
    <mergeCell ref="G29:I29"/>
  </mergeCells>
  <conditionalFormatting sqref="D28">
    <cfRule type="cellIs" dxfId="71" priority="1" stopIfTrue="1" operator="greaterThan">
      <formula>1</formula>
    </cfRule>
    <cfRule type="cellIs" dxfId="70" priority="2" stopIfTrue="1" operator="lessThan">
      <formula>1</formula>
    </cfRule>
  </conditionalFormatting>
  <conditionalFormatting sqref="H10">
    <cfRule type="expression" dxfId="69" priority="3" stopIfTrue="1">
      <formula>"if($H$14/$D$14)&lt;80"</formula>
    </cfRule>
  </conditionalFormatting>
  <pageMargins left="0.75" right="0.75" top="1" bottom="1" header="0.5" footer="0.5"/>
  <pageSetup paperSize="8" scale="77" orientation="landscape" r:id="rId1"/>
  <headerFooter alignWithMargins="0"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783A-E2AA-427F-A810-BF01056C5646}">
  <sheetPr codeName="Sheet3"/>
  <dimension ref="B1:K35"/>
  <sheetViews>
    <sheetView zoomScale="80" zoomScaleNormal="80" workbookViewId="0">
      <selection activeCell="E30" sqref="E30"/>
    </sheetView>
  </sheetViews>
  <sheetFormatPr defaultColWidth="8.77734375" defaultRowHeight="13.2" x14ac:dyDescent="0.25"/>
  <cols>
    <col min="1" max="1" width="1.5546875" customWidth="1"/>
    <col min="2" max="2" width="1.77734375" customWidth="1"/>
    <col min="3" max="3" width="72.44140625" customWidth="1"/>
    <col min="4" max="4" width="13.77734375" customWidth="1"/>
    <col min="5" max="5" width="70.21875" style="5" customWidth="1"/>
    <col min="6" max="6" width="21.21875" style="42" customWidth="1"/>
    <col min="7" max="7" width="18.44140625" style="5" customWidth="1"/>
    <col min="8" max="8" width="19" style="5" customWidth="1"/>
    <col min="9" max="9" width="31.44140625" style="5" customWidth="1"/>
    <col min="10" max="10" width="2.5546875" customWidth="1"/>
    <col min="11" max="11" width="11.21875" bestFit="1" customWidth="1"/>
  </cols>
  <sheetData>
    <row r="1" spans="2:11" ht="13.8" thickBot="1" x14ac:dyDescent="0.3"/>
    <row r="2" spans="2:11" s="1" customFormat="1" ht="9.6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1" s="2" customFormat="1" ht="24.6" x14ac:dyDescent="0.4">
      <c r="B3" s="14"/>
      <c r="C3" s="790" t="s">
        <v>73</v>
      </c>
      <c r="D3" s="791"/>
      <c r="E3" s="792"/>
      <c r="F3" s="793" t="s">
        <v>33</v>
      </c>
      <c r="G3" s="794"/>
      <c r="H3" s="794"/>
      <c r="I3" s="795"/>
      <c r="J3" s="26"/>
    </row>
    <row r="4" spans="2:11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1" s="3" customFormat="1" ht="16.8" customHeight="1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1" s="41" customFormat="1" ht="28.2" thickBot="1" x14ac:dyDescent="0.3">
      <c r="B6" s="108"/>
      <c r="C6" s="305" t="s">
        <v>36</v>
      </c>
      <c r="D6" s="207" t="s">
        <v>37</v>
      </c>
      <c r="E6" s="207" t="s">
        <v>38</v>
      </c>
      <c r="F6" s="207" t="s">
        <v>39</v>
      </c>
      <c r="G6" s="207" t="s">
        <v>40</v>
      </c>
      <c r="H6" s="207" t="s">
        <v>41</v>
      </c>
      <c r="I6" s="208" t="s">
        <v>42</v>
      </c>
      <c r="J6" s="109"/>
    </row>
    <row r="7" spans="2:11" s="41" customFormat="1" x14ac:dyDescent="0.25">
      <c r="B7" s="108"/>
      <c r="C7" s="59" t="s">
        <v>74</v>
      </c>
      <c r="D7" s="39">
        <v>0.2</v>
      </c>
      <c r="E7" s="58" t="s">
        <v>75</v>
      </c>
      <c r="F7" s="71"/>
      <c r="G7" s="79">
        <v>0</v>
      </c>
      <c r="H7" s="60">
        <f>G7*D7</f>
        <v>0</v>
      </c>
      <c r="I7" s="111"/>
      <c r="J7" s="109"/>
    </row>
    <row r="8" spans="2:11" s="117" customFormat="1" x14ac:dyDescent="0.25">
      <c r="B8" s="112"/>
      <c r="C8" s="75" t="s">
        <v>76</v>
      </c>
      <c r="D8" s="51">
        <v>0.1</v>
      </c>
      <c r="E8" s="114" t="s">
        <v>77</v>
      </c>
      <c r="F8" s="115"/>
      <c r="G8" s="79">
        <v>0</v>
      </c>
      <c r="H8" s="51">
        <f t="shared" ref="H8:H13" si="0">G8*D8</f>
        <v>0</v>
      </c>
      <c r="I8" s="81"/>
      <c r="J8" s="116"/>
    </row>
    <row r="9" spans="2:11" s="117" customFormat="1" ht="26.4" x14ac:dyDescent="0.25">
      <c r="B9" s="112"/>
      <c r="C9" s="75" t="s">
        <v>78</v>
      </c>
      <c r="D9" s="51">
        <v>2.5000000000000001E-2</v>
      </c>
      <c r="E9" s="114" t="s">
        <v>79</v>
      </c>
      <c r="F9" s="115"/>
      <c r="G9" s="79">
        <v>0</v>
      </c>
      <c r="H9" s="51">
        <f t="shared" si="0"/>
        <v>0</v>
      </c>
      <c r="I9" s="81"/>
      <c r="J9" s="116"/>
    </row>
    <row r="10" spans="2:11" s="117" customFormat="1" ht="26.4" x14ac:dyDescent="0.25">
      <c r="B10" s="112"/>
      <c r="C10" s="75" t="s">
        <v>80</v>
      </c>
      <c r="D10" s="51">
        <v>0.05</v>
      </c>
      <c r="E10" s="118">
        <v>0.111</v>
      </c>
      <c r="F10" s="115"/>
      <c r="G10" s="79">
        <v>0</v>
      </c>
      <c r="H10" s="51">
        <f t="shared" si="0"/>
        <v>0</v>
      </c>
      <c r="I10" s="81"/>
      <c r="J10" s="116"/>
    </row>
    <row r="11" spans="2:11" s="117" customFormat="1" ht="26.4" x14ac:dyDescent="0.25">
      <c r="B11" s="112"/>
      <c r="C11" s="75" t="s">
        <v>81</v>
      </c>
      <c r="D11" s="51">
        <v>2.5000000000000001E-2</v>
      </c>
      <c r="E11" s="114" t="s">
        <v>82</v>
      </c>
      <c r="F11" s="115"/>
      <c r="G11" s="79">
        <v>0</v>
      </c>
      <c r="H11" s="51">
        <f t="shared" si="0"/>
        <v>0</v>
      </c>
      <c r="I11" s="81"/>
      <c r="J11" s="116"/>
    </row>
    <row r="12" spans="2:11" s="117" customFormat="1" ht="26.4" x14ac:dyDescent="0.25">
      <c r="B12" s="112"/>
      <c r="C12" s="119" t="s">
        <v>83</v>
      </c>
      <c r="D12" s="51">
        <v>0.05</v>
      </c>
      <c r="E12" s="120" t="s">
        <v>84</v>
      </c>
      <c r="F12" s="115"/>
      <c r="G12" s="79">
        <v>0</v>
      </c>
      <c r="H12" s="51">
        <f t="shared" si="0"/>
        <v>0</v>
      </c>
      <c r="I12" s="81"/>
      <c r="J12" s="116"/>
    </row>
    <row r="13" spans="2:11" s="41" customFormat="1" ht="13.8" thickBot="1" x14ac:dyDescent="0.3">
      <c r="B13" s="108"/>
      <c r="C13" s="75" t="s">
        <v>46</v>
      </c>
      <c r="D13" s="51">
        <v>0.05</v>
      </c>
      <c r="E13" s="121">
        <v>0.16300000000000001</v>
      </c>
      <c r="F13" s="115"/>
      <c r="G13" s="79">
        <v>0</v>
      </c>
      <c r="H13" s="53">
        <f t="shared" si="0"/>
        <v>0</v>
      </c>
      <c r="I13" s="81"/>
      <c r="J13" s="109"/>
    </row>
    <row r="14" spans="2:11" s="23" customFormat="1" ht="14.4" thickBot="1" x14ac:dyDescent="0.3">
      <c r="B14" s="21"/>
      <c r="C14" s="122" t="s">
        <v>49</v>
      </c>
      <c r="D14" s="30">
        <f>SUM(D7:D13)</f>
        <v>0.50000000000000011</v>
      </c>
      <c r="E14" s="779"/>
      <c r="F14" s="779"/>
      <c r="G14" s="779"/>
      <c r="H14" s="82">
        <f>SUM(H7:H13)</f>
        <v>0</v>
      </c>
      <c r="I14" s="28"/>
      <c r="J14" s="22"/>
    </row>
    <row r="15" spans="2:11" s="3" customFormat="1" ht="16.2" thickBot="1" x14ac:dyDescent="0.35">
      <c r="B15" s="15"/>
      <c r="C15" s="784" t="s">
        <v>50</v>
      </c>
      <c r="D15" s="785"/>
      <c r="E15" s="785"/>
      <c r="F15" s="785"/>
      <c r="G15" s="785"/>
      <c r="H15" s="785"/>
      <c r="I15" s="786"/>
      <c r="J15" s="6"/>
    </row>
    <row r="16" spans="2:11" s="41" customFormat="1" ht="28.2" thickBot="1" x14ac:dyDescent="0.3">
      <c r="B16" s="108"/>
      <c r="C16" s="305" t="s">
        <v>36</v>
      </c>
      <c r="D16" s="207" t="s">
        <v>37</v>
      </c>
      <c r="E16" s="208" t="s">
        <v>38</v>
      </c>
      <c r="F16" s="207" t="s">
        <v>39</v>
      </c>
      <c r="G16" s="207" t="s">
        <v>40</v>
      </c>
      <c r="H16" s="207" t="s">
        <v>41</v>
      </c>
      <c r="I16" s="208" t="s">
        <v>42</v>
      </c>
      <c r="J16" s="109"/>
    </row>
    <row r="17" spans="2:11" s="41" customFormat="1" x14ac:dyDescent="0.25">
      <c r="B17" s="123"/>
      <c r="C17" s="48" t="s">
        <v>85</v>
      </c>
      <c r="D17" s="49">
        <v>0.1</v>
      </c>
      <c r="E17" s="57" t="s">
        <v>52</v>
      </c>
      <c r="F17" s="76"/>
      <c r="G17" s="51">
        <v>0</v>
      </c>
      <c r="H17" s="72">
        <f t="shared" ref="H17:H19" si="1">G17*D17</f>
        <v>0</v>
      </c>
      <c r="I17" s="73"/>
      <c r="J17" s="124"/>
    </row>
    <row r="18" spans="2:11" s="41" customFormat="1" x14ac:dyDescent="0.25">
      <c r="B18" s="123"/>
      <c r="C18" s="50" t="s">
        <v>86</v>
      </c>
      <c r="D18" s="51">
        <v>0.1</v>
      </c>
      <c r="E18" s="77" t="s">
        <v>87</v>
      </c>
      <c r="F18" s="74"/>
      <c r="G18" s="51">
        <v>0</v>
      </c>
      <c r="H18" s="51">
        <f t="shared" si="1"/>
        <v>0</v>
      </c>
      <c r="I18" s="78"/>
      <c r="J18" s="124"/>
    </row>
    <row r="19" spans="2:11" s="41" customFormat="1" ht="13.8" thickBot="1" x14ac:dyDescent="0.3">
      <c r="B19" s="123"/>
      <c r="C19" s="125" t="s">
        <v>88</v>
      </c>
      <c r="D19" s="126">
        <v>0.05</v>
      </c>
      <c r="E19" s="127" t="s">
        <v>89</v>
      </c>
      <c r="F19" s="128"/>
      <c r="G19" s="51">
        <v>0</v>
      </c>
      <c r="H19" s="72">
        <f t="shared" si="1"/>
        <v>0</v>
      </c>
      <c r="I19" s="129"/>
      <c r="J19" s="124"/>
    </row>
    <row r="20" spans="2:11" s="20" customFormat="1" ht="14.4" thickBot="1" x14ac:dyDescent="0.3">
      <c r="B20" s="18"/>
      <c r="C20" s="122" t="s">
        <v>55</v>
      </c>
      <c r="D20" s="30">
        <f>SUM(D17:D19)</f>
        <v>0.25</v>
      </c>
      <c r="E20" s="779"/>
      <c r="F20" s="779"/>
      <c r="G20" s="779"/>
      <c r="H20" s="62">
        <f>SUM(H17:H19)</f>
        <v>0</v>
      </c>
      <c r="I20" s="28"/>
      <c r="J20" s="19"/>
    </row>
    <row r="21" spans="2:11" s="3" customFormat="1" ht="16.2" thickBot="1" x14ac:dyDescent="0.35">
      <c r="B21" s="15"/>
      <c r="C21" s="781" t="s">
        <v>56</v>
      </c>
      <c r="D21" s="782"/>
      <c r="E21" s="782"/>
      <c r="F21" s="782"/>
      <c r="G21" s="782"/>
      <c r="H21" s="782"/>
      <c r="I21" s="783"/>
      <c r="J21" s="6"/>
    </row>
    <row r="22" spans="2:11" s="41" customFormat="1" ht="28.2" thickBot="1" x14ac:dyDescent="0.3">
      <c r="B22" s="108"/>
      <c r="C22" s="305" t="s">
        <v>36</v>
      </c>
      <c r="D22" s="207" t="s">
        <v>37</v>
      </c>
      <c r="E22" s="208" t="s">
        <v>38</v>
      </c>
      <c r="F22" s="207" t="s">
        <v>39</v>
      </c>
      <c r="G22" s="207" t="s">
        <v>40</v>
      </c>
      <c r="H22" s="232" t="s">
        <v>41</v>
      </c>
      <c r="I22" s="208" t="s">
        <v>42</v>
      </c>
      <c r="J22" s="109"/>
    </row>
    <row r="23" spans="2:11" ht="13.8" thickBot="1" x14ac:dyDescent="0.3">
      <c r="B23" s="34"/>
      <c r="C23" s="48" t="s">
        <v>57</v>
      </c>
      <c r="D23" s="49">
        <v>0.05</v>
      </c>
      <c r="E23" s="86" t="s">
        <v>58</v>
      </c>
      <c r="F23" s="54"/>
      <c r="G23" s="79">
        <v>0</v>
      </c>
      <c r="H23" s="60">
        <f t="shared" ref="H23" si="2">G23*D23</f>
        <v>0</v>
      </c>
      <c r="I23" s="83"/>
      <c r="J23" s="35"/>
    </row>
    <row r="24" spans="2:11" ht="13.8" thickBot="1" x14ac:dyDescent="0.3">
      <c r="B24" s="34"/>
      <c r="C24" s="48" t="s">
        <v>90</v>
      </c>
      <c r="D24" s="51">
        <v>0.05</v>
      </c>
      <c r="E24" s="77" t="s">
        <v>91</v>
      </c>
      <c r="F24" s="55"/>
      <c r="G24" s="79">
        <v>0</v>
      </c>
      <c r="H24" s="51">
        <f t="shared" ref="H24" si="3">G24*D24</f>
        <v>0</v>
      </c>
      <c r="I24" s="81"/>
      <c r="J24" s="35"/>
    </row>
    <row r="25" spans="2:11" ht="13.8" thickBot="1" x14ac:dyDescent="0.3">
      <c r="B25" s="34"/>
      <c r="C25" s="48" t="s">
        <v>92</v>
      </c>
      <c r="D25" s="51">
        <v>0.05</v>
      </c>
      <c r="E25" s="77" t="s">
        <v>93</v>
      </c>
      <c r="F25" s="55"/>
      <c r="G25" s="79">
        <v>0</v>
      </c>
      <c r="H25" s="53">
        <f t="shared" ref="H25" si="4">G25*D25</f>
        <v>0</v>
      </c>
      <c r="I25" s="81"/>
      <c r="J25" s="35"/>
    </row>
    <row r="26" spans="2:11" s="20" customFormat="1" ht="14.4" thickBot="1" x14ac:dyDescent="0.3">
      <c r="B26" s="18"/>
      <c r="C26" s="122" t="s">
        <v>63</v>
      </c>
      <c r="D26" s="30">
        <f>SUM(D23:D25)</f>
        <v>0.15000000000000002</v>
      </c>
      <c r="E26" s="779"/>
      <c r="F26" s="779"/>
      <c r="G26" s="779"/>
      <c r="H26" s="243">
        <f>SUM(H23:H25)</f>
        <v>0</v>
      </c>
      <c r="I26" s="28"/>
      <c r="J26" s="19"/>
    </row>
    <row r="27" spans="2:11" s="3" customFormat="1" ht="16.2" thickBot="1" x14ac:dyDescent="0.35">
      <c r="B27" s="15"/>
      <c r="C27" s="781" t="s">
        <v>64</v>
      </c>
      <c r="D27" s="782"/>
      <c r="E27" s="782"/>
      <c r="F27" s="782"/>
      <c r="G27" s="782"/>
      <c r="H27" s="782"/>
      <c r="I27" s="786"/>
      <c r="J27" s="6"/>
    </row>
    <row r="28" spans="2:11" s="41" customFormat="1" ht="28.2" thickBot="1" x14ac:dyDescent="0.3">
      <c r="B28" s="108"/>
      <c r="C28" s="306" t="s">
        <v>36</v>
      </c>
      <c r="D28" s="207" t="s">
        <v>37</v>
      </c>
      <c r="E28" s="208" t="s">
        <v>38</v>
      </c>
      <c r="F28" s="207" t="s">
        <v>39</v>
      </c>
      <c r="G28" s="207" t="s">
        <v>40</v>
      </c>
      <c r="H28" s="207" t="s">
        <v>41</v>
      </c>
      <c r="I28" s="210" t="s">
        <v>42</v>
      </c>
      <c r="J28" s="109"/>
    </row>
    <row r="29" spans="2:11" s="41" customFormat="1" x14ac:dyDescent="0.25">
      <c r="B29" s="108"/>
      <c r="C29" s="130" t="s">
        <v>94</v>
      </c>
      <c r="D29" s="51">
        <v>0.04</v>
      </c>
      <c r="E29" s="86" t="s">
        <v>95</v>
      </c>
      <c r="F29" s="55"/>
      <c r="G29" s="51">
        <v>0</v>
      </c>
      <c r="H29" s="60">
        <f t="shared" ref="H29:H30" si="5">G29*D29</f>
        <v>0</v>
      </c>
      <c r="I29" s="52"/>
      <c r="J29" s="109"/>
      <c r="K29" s="131"/>
    </row>
    <row r="30" spans="2:11" s="41" customFormat="1" ht="52.8" x14ac:dyDescent="0.25">
      <c r="B30" s="108"/>
      <c r="C30" s="130" t="s">
        <v>68</v>
      </c>
      <c r="D30" s="51">
        <v>0.03</v>
      </c>
      <c r="E30" s="86" t="s">
        <v>857</v>
      </c>
      <c r="F30" s="55"/>
      <c r="G30" s="51">
        <v>0</v>
      </c>
      <c r="H30" s="51">
        <f t="shared" si="5"/>
        <v>0</v>
      </c>
      <c r="I30" s="52"/>
      <c r="J30" s="109"/>
      <c r="K30" s="131"/>
    </row>
    <row r="31" spans="2:11" s="41" customFormat="1" ht="13.8" thickBot="1" x14ac:dyDescent="0.3">
      <c r="B31" s="108"/>
      <c r="C31" s="130" t="s">
        <v>96</v>
      </c>
      <c r="D31" s="51">
        <v>0.03</v>
      </c>
      <c r="E31" s="86" t="s">
        <v>97</v>
      </c>
      <c r="F31" s="55"/>
      <c r="G31" s="51">
        <v>0</v>
      </c>
      <c r="H31" s="51">
        <f>G31*D31</f>
        <v>0</v>
      </c>
      <c r="I31" s="52" t="s">
        <v>98</v>
      </c>
      <c r="J31" s="109"/>
      <c r="K31" s="131"/>
    </row>
    <row r="32" spans="2:11" s="20" customFormat="1" ht="14.4" thickBot="1" x14ac:dyDescent="0.3">
      <c r="B32" s="18"/>
      <c r="C32" s="122" t="s">
        <v>70</v>
      </c>
      <c r="D32" s="30">
        <f>SUM(D29:D31)</f>
        <v>0.1</v>
      </c>
      <c r="E32" s="778"/>
      <c r="F32" s="779"/>
      <c r="G32" s="780"/>
      <c r="H32" s="62">
        <f>SUM(H29:H31)</f>
        <v>0</v>
      </c>
      <c r="I32" s="40"/>
      <c r="J32" s="19"/>
    </row>
    <row r="33" spans="2:10" s="20" customFormat="1" ht="14.4" thickBot="1" x14ac:dyDescent="0.3">
      <c r="B33" s="18"/>
      <c r="C33" s="132" t="s">
        <v>71</v>
      </c>
      <c r="D33" s="37">
        <f>D32+D26+D20+D14</f>
        <v>1</v>
      </c>
      <c r="E33" s="799"/>
      <c r="F33" s="799"/>
      <c r="G33" s="799"/>
      <c r="H33" s="799"/>
      <c r="I33" s="800"/>
      <c r="J33" s="19"/>
    </row>
    <row r="34" spans="2:10" s="20" customFormat="1" ht="14.4" thickBot="1" x14ac:dyDescent="0.3">
      <c r="B34" s="18"/>
      <c r="C34" s="775" t="s">
        <v>72</v>
      </c>
      <c r="D34" s="776"/>
      <c r="E34" s="776"/>
      <c r="F34" s="777"/>
      <c r="G34" s="787">
        <f>H32+H26+H20+H14</f>
        <v>0</v>
      </c>
      <c r="H34" s="788"/>
      <c r="I34" s="789"/>
      <c r="J34" s="19"/>
    </row>
    <row r="35" spans="2:10" ht="9.6" customHeight="1" thickBot="1" x14ac:dyDescent="0.5">
      <c r="B35" s="8"/>
      <c r="C35" s="9"/>
      <c r="D35" s="9"/>
      <c r="E35" s="10"/>
      <c r="F35" s="44"/>
      <c r="G35" s="11"/>
      <c r="H35" s="11"/>
      <c r="I35" s="12"/>
      <c r="J35" s="7"/>
    </row>
  </sheetData>
  <mergeCells count="14">
    <mergeCell ref="C15:I15"/>
    <mergeCell ref="C3:E3"/>
    <mergeCell ref="F3:I3"/>
    <mergeCell ref="F4:I4"/>
    <mergeCell ref="C5:I5"/>
    <mergeCell ref="E14:G14"/>
    <mergeCell ref="C34:F34"/>
    <mergeCell ref="G34:I34"/>
    <mergeCell ref="E20:G20"/>
    <mergeCell ref="C21:I21"/>
    <mergeCell ref="E26:G26"/>
    <mergeCell ref="C27:I27"/>
    <mergeCell ref="E32:G32"/>
    <mergeCell ref="E33:I33"/>
  </mergeCells>
  <conditionalFormatting sqref="D33">
    <cfRule type="cellIs" dxfId="68" priority="1" stopIfTrue="1" operator="greaterThan">
      <formula>1</formula>
    </cfRule>
    <cfRule type="cellIs" dxfId="67" priority="2" stopIfTrue="1" operator="lessThan">
      <formula>1</formula>
    </cfRule>
  </conditionalFormatting>
  <conditionalFormatting sqref="H14">
    <cfRule type="expression" dxfId="66" priority="3" stopIfTrue="1">
      <formula>"if($H$14/$D$14)&lt;80"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0F7E-730B-4349-B5C0-C983961E0C2A}">
  <sheetPr codeName="Sheet4">
    <pageSetUpPr fitToPage="1"/>
  </sheetPr>
  <dimension ref="B1:O32"/>
  <sheetViews>
    <sheetView zoomScale="80" zoomScaleNormal="80" workbookViewId="0">
      <selection activeCell="E35" sqref="E35"/>
    </sheetView>
  </sheetViews>
  <sheetFormatPr defaultColWidth="8.77734375" defaultRowHeight="13.2" x14ac:dyDescent="0.25"/>
  <cols>
    <col min="1" max="1" width="1.5546875" customWidth="1"/>
    <col min="2" max="2" width="2.21875" customWidth="1"/>
    <col min="3" max="3" width="72.21875" customWidth="1"/>
    <col min="4" max="4" width="13.44140625" customWidth="1"/>
    <col min="5" max="5" width="71.21875" style="5" customWidth="1"/>
    <col min="6" max="6" width="19" style="42" customWidth="1"/>
    <col min="7" max="7" width="19.5546875" style="5" customWidth="1"/>
    <col min="8" max="8" width="19.44140625" style="5" customWidth="1"/>
    <col min="9" max="9" width="36" style="5" customWidth="1"/>
    <col min="10" max="10" width="2.5546875" customWidth="1"/>
    <col min="11" max="11" width="11.21875" bestFit="1" customWidth="1"/>
    <col min="12" max="12" width="11.21875" customWidth="1"/>
    <col min="13" max="13" width="11.77734375" customWidth="1"/>
    <col min="15" max="15" width="22.77734375" bestFit="1" customWidth="1"/>
  </cols>
  <sheetData>
    <row r="1" spans="2:15" ht="13.8" thickBot="1" x14ac:dyDescent="0.3"/>
    <row r="2" spans="2:15" s="1" customFormat="1" ht="12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5" s="2" customFormat="1" ht="24.6" x14ac:dyDescent="0.4">
      <c r="B3" s="14"/>
      <c r="C3" s="790" t="s">
        <v>99</v>
      </c>
      <c r="D3" s="791"/>
      <c r="E3" s="792"/>
      <c r="F3" s="793" t="s">
        <v>33</v>
      </c>
      <c r="G3" s="794"/>
      <c r="H3" s="794"/>
      <c r="I3" s="795"/>
      <c r="J3" s="26"/>
    </row>
    <row r="4" spans="2:15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5" s="3" customFormat="1" ht="23.4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5" s="41" customFormat="1" ht="28.2" thickBot="1" x14ac:dyDescent="0.3">
      <c r="B6" s="108"/>
      <c r="C6" s="206" t="s">
        <v>36</v>
      </c>
      <c r="D6" s="207" t="s">
        <v>37</v>
      </c>
      <c r="E6" s="207" t="s">
        <v>38</v>
      </c>
      <c r="F6" s="207" t="s">
        <v>39</v>
      </c>
      <c r="G6" s="207" t="s">
        <v>40</v>
      </c>
      <c r="H6" s="207" t="s">
        <v>41</v>
      </c>
      <c r="I6" s="208" t="s">
        <v>42</v>
      </c>
      <c r="J6" s="109"/>
    </row>
    <row r="7" spans="2:15" s="41" customFormat="1" x14ac:dyDescent="0.25">
      <c r="B7" s="108"/>
      <c r="C7" s="133" t="s">
        <v>100</v>
      </c>
      <c r="D7" s="126">
        <v>0.05</v>
      </c>
      <c r="E7" s="249" t="s">
        <v>44</v>
      </c>
      <c r="F7" s="246"/>
      <c r="G7" s="51">
        <v>0</v>
      </c>
      <c r="H7" s="60">
        <f>G7*D7</f>
        <v>0</v>
      </c>
      <c r="I7" s="262" t="s">
        <v>45</v>
      </c>
      <c r="J7" s="109"/>
    </row>
    <row r="8" spans="2:15" s="117" customFormat="1" ht="26.4" x14ac:dyDescent="0.25">
      <c r="B8" s="112"/>
      <c r="C8" s="135" t="s">
        <v>80</v>
      </c>
      <c r="D8" s="126">
        <v>0.05</v>
      </c>
      <c r="E8" s="257">
        <v>0.111</v>
      </c>
      <c r="F8" s="78"/>
      <c r="G8" s="51">
        <v>0</v>
      </c>
      <c r="H8" s="51">
        <f>G8*D8</f>
        <v>0</v>
      </c>
      <c r="I8" s="81"/>
      <c r="J8" s="116"/>
      <c r="L8" s="136"/>
      <c r="N8" s="137"/>
    </row>
    <row r="9" spans="2:15" s="117" customFormat="1" x14ac:dyDescent="0.25">
      <c r="B9" s="112"/>
      <c r="C9" s="119" t="s">
        <v>101</v>
      </c>
      <c r="D9" s="126">
        <v>0.05</v>
      </c>
      <c r="E9" s="259" t="s">
        <v>102</v>
      </c>
      <c r="F9" s="129"/>
      <c r="G9" s="260">
        <v>0</v>
      </c>
      <c r="H9" s="126">
        <f>G9*D9</f>
        <v>0</v>
      </c>
      <c r="I9" s="138"/>
      <c r="J9" s="116"/>
      <c r="L9" s="136"/>
      <c r="N9" s="137"/>
    </row>
    <row r="10" spans="2:15" s="117" customFormat="1" ht="13.8" thickBot="1" x14ac:dyDescent="0.3">
      <c r="B10" s="112"/>
      <c r="C10" s="139" t="s">
        <v>103</v>
      </c>
      <c r="D10" s="140">
        <v>0.15</v>
      </c>
      <c r="E10" s="250" t="s">
        <v>104</v>
      </c>
      <c r="F10" s="251"/>
      <c r="G10" s="261">
        <v>0</v>
      </c>
      <c r="H10" s="53">
        <f>G10*D10</f>
        <v>0</v>
      </c>
      <c r="I10" s="81"/>
      <c r="J10" s="116"/>
      <c r="L10" s="142"/>
      <c r="M10" s="142"/>
      <c r="N10" s="143"/>
      <c r="O10" s="144"/>
    </row>
    <row r="11" spans="2:15" s="23" customFormat="1" ht="14.4" thickBot="1" x14ac:dyDescent="0.3">
      <c r="B11" s="21"/>
      <c r="C11" s="27" t="s">
        <v>49</v>
      </c>
      <c r="D11" s="30">
        <f>SUM(D7:D10)</f>
        <v>0.30000000000000004</v>
      </c>
      <c r="E11" s="779"/>
      <c r="F11" s="779"/>
      <c r="G11" s="779"/>
      <c r="H11" s="82">
        <f>SUM(H9:H10)</f>
        <v>0</v>
      </c>
      <c r="I11" s="28"/>
      <c r="J11" s="22"/>
      <c r="L11" s="70"/>
      <c r="M11" s="61"/>
    </row>
    <row r="12" spans="2:15" s="3" customFormat="1" ht="16.2" thickBot="1" x14ac:dyDescent="0.35">
      <c r="B12" s="15"/>
      <c r="C12" s="784" t="s">
        <v>50</v>
      </c>
      <c r="D12" s="785"/>
      <c r="E12" s="785"/>
      <c r="F12" s="785"/>
      <c r="G12" s="785"/>
      <c r="H12" s="785"/>
      <c r="I12" s="786"/>
      <c r="J12" s="6"/>
      <c r="L12" s="63"/>
      <c r="M12" s="64"/>
    </row>
    <row r="13" spans="2:15" s="41" customFormat="1" ht="28.2" thickBot="1" x14ac:dyDescent="0.3">
      <c r="B13" s="108"/>
      <c r="C13" s="206" t="s">
        <v>36</v>
      </c>
      <c r="D13" s="207" t="s">
        <v>37</v>
      </c>
      <c r="E13" s="208" t="s">
        <v>38</v>
      </c>
      <c r="F13" s="207" t="s">
        <v>39</v>
      </c>
      <c r="G13" s="207" t="s">
        <v>40</v>
      </c>
      <c r="H13" s="207" t="s">
        <v>41</v>
      </c>
      <c r="I13" s="208" t="s">
        <v>42</v>
      </c>
      <c r="J13" s="109"/>
    </row>
    <row r="14" spans="2:15" s="41" customFormat="1" ht="26.4" x14ac:dyDescent="0.25">
      <c r="B14" s="123"/>
      <c r="C14" s="48" t="s">
        <v>105</v>
      </c>
      <c r="D14" s="49">
        <v>0.1</v>
      </c>
      <c r="E14" s="252" t="s">
        <v>106</v>
      </c>
      <c r="F14" s="254"/>
      <c r="G14" s="51">
        <v>0</v>
      </c>
      <c r="H14" s="72">
        <f>G14*D14</f>
        <v>0</v>
      </c>
      <c r="I14" s="73"/>
      <c r="J14" s="124"/>
      <c r="L14" s="70"/>
      <c r="M14" s="70"/>
    </row>
    <row r="15" spans="2:15" s="41" customFormat="1" ht="26.4" x14ac:dyDescent="0.25">
      <c r="B15" s="123"/>
      <c r="C15" s="50" t="s">
        <v>107</v>
      </c>
      <c r="D15" s="51">
        <v>0.1</v>
      </c>
      <c r="E15" s="253" t="s">
        <v>108</v>
      </c>
      <c r="F15" s="255"/>
      <c r="G15" s="51">
        <v>0</v>
      </c>
      <c r="H15" s="72">
        <f>G15*D15</f>
        <v>0</v>
      </c>
      <c r="I15" s="78"/>
      <c r="J15" s="124"/>
      <c r="L15" s="70"/>
      <c r="M15" s="70"/>
    </row>
    <row r="16" spans="2:15" s="41" customFormat="1" ht="27" thickBot="1" x14ac:dyDescent="0.3">
      <c r="B16" s="123"/>
      <c r="C16" s="145" t="s">
        <v>109</v>
      </c>
      <c r="D16" s="126">
        <v>0.1</v>
      </c>
      <c r="E16" s="253" t="s">
        <v>110</v>
      </c>
      <c r="F16" s="256"/>
      <c r="G16" s="51">
        <v>0</v>
      </c>
      <c r="H16" s="72">
        <f>G16*D16</f>
        <v>0</v>
      </c>
      <c r="I16" s="129"/>
      <c r="J16" s="124"/>
      <c r="L16" s="70"/>
      <c r="M16" s="70"/>
    </row>
    <row r="17" spans="2:15" s="20" customFormat="1" ht="14.4" thickBot="1" x14ac:dyDescent="0.3">
      <c r="B17" s="18"/>
      <c r="C17" s="27" t="s">
        <v>55</v>
      </c>
      <c r="D17" s="30">
        <f>SUM(D14:D16)</f>
        <v>0.30000000000000004</v>
      </c>
      <c r="E17" s="779"/>
      <c r="F17" s="779"/>
      <c r="G17" s="779"/>
      <c r="H17" s="62">
        <f>SUM(H14:H16)</f>
        <v>0</v>
      </c>
      <c r="I17" s="28"/>
      <c r="J17" s="19"/>
      <c r="L17" s="41"/>
      <c r="M17" s="146"/>
      <c r="N17" s="41"/>
    </row>
    <row r="18" spans="2:15" s="3" customFormat="1" ht="16.2" thickBot="1" x14ac:dyDescent="0.35">
      <c r="B18" s="15"/>
      <c r="C18" s="784" t="s">
        <v>56</v>
      </c>
      <c r="D18" s="785"/>
      <c r="E18" s="785"/>
      <c r="F18" s="785"/>
      <c r="G18" s="785"/>
      <c r="H18" s="785"/>
      <c r="I18" s="786"/>
      <c r="J18" s="6"/>
      <c r="L18" s="41"/>
      <c r="M18" s="41"/>
      <c r="N18" s="41"/>
    </row>
    <row r="19" spans="2:15" s="41" customFormat="1" ht="28.2" thickBot="1" x14ac:dyDescent="0.3">
      <c r="B19" s="108"/>
      <c r="C19" s="206" t="s">
        <v>36</v>
      </c>
      <c r="D19" s="207" t="s">
        <v>37</v>
      </c>
      <c r="E19" s="208" t="s">
        <v>38</v>
      </c>
      <c r="F19" s="207" t="s">
        <v>39</v>
      </c>
      <c r="G19" s="207" t="s">
        <v>40</v>
      </c>
      <c r="H19" s="207" t="s">
        <v>41</v>
      </c>
      <c r="I19" s="208" t="s">
        <v>42</v>
      </c>
      <c r="J19" s="109"/>
      <c r="L19" s="20"/>
      <c r="M19" s="20"/>
      <c r="N19" s="20"/>
    </row>
    <row r="20" spans="2:15" ht="15.6" x14ac:dyDescent="0.3">
      <c r="B20" s="34"/>
      <c r="C20" s="56" t="s">
        <v>111</v>
      </c>
      <c r="D20" s="49">
        <v>0.1</v>
      </c>
      <c r="E20" s="249" t="s">
        <v>112</v>
      </c>
      <c r="F20" s="73"/>
      <c r="G20" s="248">
        <v>0</v>
      </c>
      <c r="H20" s="60">
        <f>G20*D20</f>
        <v>0</v>
      </c>
      <c r="I20" s="147"/>
      <c r="J20" s="35"/>
      <c r="L20" s="3"/>
      <c r="M20" s="3"/>
      <c r="N20" s="3"/>
    </row>
    <row r="21" spans="2:15" ht="15.6" x14ac:dyDescent="0.3">
      <c r="B21" s="34"/>
      <c r="C21" s="56" t="s">
        <v>113</v>
      </c>
      <c r="D21" s="51">
        <v>0.05</v>
      </c>
      <c r="E21" s="247" t="s">
        <v>114</v>
      </c>
      <c r="F21" s="78"/>
      <c r="G21" s="248">
        <v>0</v>
      </c>
      <c r="H21" s="51">
        <f>G21*D21</f>
        <v>0</v>
      </c>
      <c r="I21" s="149"/>
      <c r="J21" s="35"/>
      <c r="L21" s="3"/>
      <c r="M21" s="3"/>
      <c r="N21" s="3"/>
    </row>
    <row r="22" spans="2:15" ht="15.6" x14ac:dyDescent="0.3">
      <c r="B22" s="34"/>
      <c r="C22" s="56" t="s">
        <v>115</v>
      </c>
      <c r="D22" s="51">
        <v>0.05</v>
      </c>
      <c r="E22" s="247" t="s">
        <v>116</v>
      </c>
      <c r="F22" s="78"/>
      <c r="G22" s="248">
        <v>0</v>
      </c>
      <c r="H22" s="51">
        <f>G22*D22</f>
        <v>0</v>
      </c>
      <c r="I22" s="81"/>
      <c r="J22" s="35"/>
      <c r="L22" s="3"/>
      <c r="M22" s="3"/>
      <c r="N22" s="3"/>
    </row>
    <row r="23" spans="2:15" ht="53.4" thickBot="1" x14ac:dyDescent="0.35">
      <c r="B23" s="34"/>
      <c r="C23" s="50" t="s">
        <v>68</v>
      </c>
      <c r="D23" s="51">
        <v>0.1</v>
      </c>
      <c r="E23" s="877" t="s">
        <v>866</v>
      </c>
      <c r="F23" s="251"/>
      <c r="G23" s="248">
        <v>0</v>
      </c>
      <c r="H23" s="51">
        <f>G23*D23</f>
        <v>0</v>
      </c>
      <c r="I23" s="81" t="s">
        <v>69</v>
      </c>
      <c r="J23" s="35"/>
      <c r="L23" s="3"/>
      <c r="M23" s="3"/>
      <c r="N23" s="3"/>
    </row>
    <row r="24" spans="2:15" s="20" customFormat="1" ht="14.4" thickBot="1" x14ac:dyDescent="0.3">
      <c r="B24" s="18"/>
      <c r="C24" s="27" t="s">
        <v>63</v>
      </c>
      <c r="D24" s="30">
        <f>SUM(D20:D23)</f>
        <v>0.30000000000000004</v>
      </c>
      <c r="E24" s="779"/>
      <c r="F24" s="779"/>
      <c r="G24" s="779"/>
      <c r="H24" s="29">
        <f>SUM(H20:H23)</f>
        <v>0</v>
      </c>
      <c r="I24" s="28"/>
      <c r="J24" s="19"/>
    </row>
    <row r="25" spans="2:15" s="3" customFormat="1" ht="16.2" thickBot="1" x14ac:dyDescent="0.35">
      <c r="B25" s="15"/>
      <c r="C25" s="781" t="s">
        <v>64</v>
      </c>
      <c r="D25" s="782"/>
      <c r="E25" s="782"/>
      <c r="F25" s="782"/>
      <c r="G25" s="782"/>
      <c r="H25" s="782"/>
      <c r="I25" s="786"/>
      <c r="J25" s="6"/>
    </row>
    <row r="26" spans="2:15" s="41" customFormat="1" ht="28.2" thickBot="1" x14ac:dyDescent="0.3">
      <c r="B26" s="108"/>
      <c r="C26" s="209" t="s">
        <v>36</v>
      </c>
      <c r="D26" s="207" t="s">
        <v>37</v>
      </c>
      <c r="E26" s="208" t="s">
        <v>38</v>
      </c>
      <c r="F26" s="207" t="s">
        <v>39</v>
      </c>
      <c r="G26" s="207" t="s">
        <v>40</v>
      </c>
      <c r="H26" s="207" t="s">
        <v>41</v>
      </c>
      <c r="I26" s="210" t="s">
        <v>42</v>
      </c>
      <c r="J26" s="109"/>
      <c r="L26" s="151"/>
    </row>
    <row r="27" spans="2:15" s="41" customFormat="1" x14ac:dyDescent="0.25">
      <c r="B27" s="108"/>
      <c r="C27" s="50" t="s">
        <v>117</v>
      </c>
      <c r="D27" s="51">
        <v>0.05</v>
      </c>
      <c r="E27" s="152" t="s">
        <v>118</v>
      </c>
      <c r="F27" s="150"/>
      <c r="G27" s="51">
        <v>0</v>
      </c>
      <c r="H27" s="60">
        <f>G27*D27</f>
        <v>0</v>
      </c>
      <c r="I27" s="52" t="s">
        <v>119</v>
      </c>
      <c r="J27" s="109"/>
      <c r="K27" s="131"/>
      <c r="M27" s="151"/>
      <c r="N27" s="151"/>
      <c r="O27" s="146"/>
    </row>
    <row r="28" spans="2:15" s="41" customFormat="1" ht="13.8" thickBot="1" x14ac:dyDescent="0.3">
      <c r="B28" s="108"/>
      <c r="C28" s="50" t="s">
        <v>120</v>
      </c>
      <c r="D28" s="51">
        <v>0.05</v>
      </c>
      <c r="E28" s="141" t="s">
        <v>121</v>
      </c>
      <c r="F28" s="150"/>
      <c r="G28" s="51">
        <v>0</v>
      </c>
      <c r="H28" s="51">
        <f>G28*D28</f>
        <v>0</v>
      </c>
      <c r="I28" s="52" t="s">
        <v>122</v>
      </c>
      <c r="J28" s="109"/>
      <c r="K28" s="131"/>
      <c r="M28" s="151"/>
      <c r="N28" s="151"/>
      <c r="O28" s="146"/>
    </row>
    <row r="29" spans="2:15" s="20" customFormat="1" ht="14.4" thickBot="1" x14ac:dyDescent="0.3">
      <c r="B29" s="18"/>
      <c r="C29" s="27" t="s">
        <v>70</v>
      </c>
      <c r="D29" s="30">
        <f>SUM(D27:D28)</f>
        <v>0.1</v>
      </c>
      <c r="E29" s="778"/>
      <c r="F29" s="779"/>
      <c r="G29" s="780"/>
      <c r="H29" s="62">
        <f>SUM(H27:H28)</f>
        <v>0</v>
      </c>
      <c r="I29" s="40"/>
      <c r="J29" s="19"/>
      <c r="L29" s="67"/>
      <c r="M29" s="65"/>
    </row>
    <row r="30" spans="2:15" s="20" customFormat="1" ht="14.4" thickBot="1" x14ac:dyDescent="0.3">
      <c r="B30" s="18"/>
      <c r="C30" s="36" t="s">
        <v>71</v>
      </c>
      <c r="D30" s="37">
        <f>D29+D24+D17+D11</f>
        <v>1</v>
      </c>
      <c r="E30" s="799"/>
      <c r="F30" s="799"/>
      <c r="G30" s="799"/>
      <c r="H30" s="799"/>
      <c r="I30" s="800"/>
      <c r="J30" s="19"/>
      <c r="L30" s="69"/>
      <c r="M30" s="66"/>
    </row>
    <row r="31" spans="2:15" s="20" customFormat="1" ht="14.4" thickBot="1" x14ac:dyDescent="0.3">
      <c r="B31" s="18"/>
      <c r="C31" s="775" t="s">
        <v>72</v>
      </c>
      <c r="D31" s="776"/>
      <c r="E31" s="776"/>
      <c r="F31" s="777"/>
      <c r="G31" s="787">
        <f>H29+H24+H17+H11</f>
        <v>0</v>
      </c>
      <c r="H31" s="788"/>
      <c r="I31" s="789"/>
      <c r="J31" s="19"/>
      <c r="M31" s="67"/>
    </row>
    <row r="32" spans="2:15" ht="11.55" customHeight="1" thickBot="1" x14ac:dyDescent="0.5">
      <c r="B32" s="8"/>
      <c r="C32" s="9"/>
      <c r="D32" s="9"/>
      <c r="E32" s="10"/>
      <c r="F32" s="44"/>
      <c r="G32" s="11"/>
      <c r="H32" s="11"/>
      <c r="I32" s="12"/>
      <c r="J32" s="7"/>
      <c r="M32" s="68"/>
    </row>
  </sheetData>
  <mergeCells count="14">
    <mergeCell ref="C12:I12"/>
    <mergeCell ref="C3:E3"/>
    <mergeCell ref="F3:I3"/>
    <mergeCell ref="F4:I4"/>
    <mergeCell ref="C5:I5"/>
    <mergeCell ref="E11:G11"/>
    <mergeCell ref="C31:F31"/>
    <mergeCell ref="G31:I31"/>
    <mergeCell ref="E17:G17"/>
    <mergeCell ref="C18:I18"/>
    <mergeCell ref="E24:G24"/>
    <mergeCell ref="C25:I25"/>
    <mergeCell ref="E29:G29"/>
    <mergeCell ref="E30:I30"/>
  </mergeCells>
  <conditionalFormatting sqref="D30">
    <cfRule type="cellIs" dxfId="65" priority="1" stopIfTrue="1" operator="greaterThan">
      <formula>1</formula>
    </cfRule>
    <cfRule type="cellIs" dxfId="64" priority="2" stopIfTrue="1" operator="lessThan">
      <formula>1</formula>
    </cfRule>
  </conditionalFormatting>
  <conditionalFormatting sqref="H11">
    <cfRule type="expression" dxfId="63" priority="3" stopIfTrue="1">
      <formula>"if($H$14/$D$14)&lt;80"</formula>
    </cfRule>
  </conditionalFormatting>
  <pageMargins left="0.7" right="0.7" top="0.75" bottom="0.75" header="0.3" footer="0.3"/>
  <pageSetup paperSize="8" scale="7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229C-8644-4A9A-811E-F7FEB8DB90BB}">
  <sheetPr codeName="Sheet5"/>
  <dimension ref="B1:K40"/>
  <sheetViews>
    <sheetView topLeftCell="B1" zoomScale="80" zoomScaleNormal="80" workbookViewId="0">
      <selection activeCell="E35" sqref="E35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3.21875" style="385" customWidth="1"/>
    <col min="4" max="4" width="15" style="385" customWidth="1"/>
    <col min="5" max="5" width="59.5546875" style="386" customWidth="1"/>
    <col min="6" max="6" width="16" style="387" customWidth="1"/>
    <col min="7" max="7" width="19.21875" style="388" customWidth="1"/>
    <col min="8" max="8" width="17.77734375" style="388" customWidth="1"/>
    <col min="9" max="9" width="36.77734375" style="386" customWidth="1"/>
    <col min="10" max="10" width="2.5546875" style="385" customWidth="1"/>
    <col min="11" max="11" width="11.21875" style="385" bestFit="1" customWidth="1"/>
    <col min="12" max="16384" width="8.77734375" style="385"/>
  </cols>
  <sheetData>
    <row r="1" spans="2:11" ht="13.8" thickBot="1" x14ac:dyDescent="0.3"/>
    <row r="2" spans="2:11" s="396" customFormat="1" ht="10.35" customHeight="1" thickBot="1" x14ac:dyDescent="0.5">
      <c r="B2" s="389"/>
      <c r="C2" s="390"/>
      <c r="D2" s="390"/>
      <c r="E2" s="391"/>
      <c r="F2" s="392" t="s">
        <v>31</v>
      </c>
      <c r="G2" s="393"/>
      <c r="H2" s="393"/>
      <c r="I2" s="394"/>
      <c r="J2" s="395"/>
    </row>
    <row r="3" spans="2:11" s="399" customFormat="1" ht="24.6" x14ac:dyDescent="0.4">
      <c r="B3" s="397"/>
      <c r="C3" s="807" t="s">
        <v>123</v>
      </c>
      <c r="D3" s="808"/>
      <c r="E3" s="808"/>
      <c r="F3" s="809" t="s">
        <v>33</v>
      </c>
      <c r="G3" s="810"/>
      <c r="H3" s="810"/>
      <c r="I3" s="811"/>
      <c r="J3" s="398"/>
    </row>
    <row r="4" spans="2:11" s="399" customFormat="1" ht="25.2" thickBot="1" x14ac:dyDescent="0.45">
      <c r="B4" s="397"/>
      <c r="C4" s="400">
        <v>2024</v>
      </c>
      <c r="D4" s="401"/>
      <c r="E4" s="401"/>
      <c r="F4" s="812" t="s">
        <v>34</v>
      </c>
      <c r="G4" s="813"/>
      <c r="H4" s="813"/>
      <c r="I4" s="814"/>
      <c r="J4" s="398"/>
      <c r="K4" s="402"/>
    </row>
    <row r="5" spans="2:11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3"/>
      <c r="J5" s="398"/>
    </row>
    <row r="6" spans="2:11" ht="42" thickBot="1" x14ac:dyDescent="0.3">
      <c r="B6" s="405"/>
      <c r="C6" s="406" t="s">
        <v>36</v>
      </c>
      <c r="D6" s="407" t="s">
        <v>37</v>
      </c>
      <c r="E6" s="408" t="s">
        <v>38</v>
      </c>
      <c r="F6" s="408" t="s">
        <v>39</v>
      </c>
      <c r="G6" s="407" t="s">
        <v>40</v>
      </c>
      <c r="H6" s="448" t="s">
        <v>41</v>
      </c>
      <c r="I6" s="409" t="s">
        <v>42</v>
      </c>
      <c r="J6" s="410"/>
    </row>
    <row r="7" spans="2:11" s="417" customFormat="1" x14ac:dyDescent="0.25">
      <c r="B7" s="411"/>
      <c r="C7" s="451" t="s">
        <v>124</v>
      </c>
      <c r="D7" s="39">
        <v>0.2</v>
      </c>
      <c r="E7" s="153" t="s">
        <v>125</v>
      </c>
      <c r="F7" s="412"/>
      <c r="G7" s="413">
        <v>0</v>
      </c>
      <c r="H7" s="414">
        <v>0</v>
      </c>
      <c r="I7" s="415"/>
      <c r="J7" s="416"/>
    </row>
    <row r="8" spans="2:11" s="417" customFormat="1" x14ac:dyDescent="0.25">
      <c r="B8" s="411"/>
      <c r="C8" s="452" t="s">
        <v>126</v>
      </c>
      <c r="D8" s="51">
        <v>0.05</v>
      </c>
      <c r="E8" s="456">
        <v>0.16300000000000001</v>
      </c>
      <c r="F8" s="419"/>
      <c r="G8" s="413">
        <v>0</v>
      </c>
      <c r="H8" s="418">
        <v>0</v>
      </c>
      <c r="I8" s="420"/>
      <c r="J8" s="416"/>
    </row>
    <row r="9" spans="2:11" s="417" customFormat="1" x14ac:dyDescent="0.25">
      <c r="B9" s="421"/>
      <c r="C9" s="452" t="s">
        <v>127</v>
      </c>
      <c r="D9" s="51">
        <v>0.1</v>
      </c>
      <c r="E9" s="247" t="s">
        <v>128</v>
      </c>
      <c r="F9" s="420"/>
      <c r="G9" s="413">
        <v>0</v>
      </c>
      <c r="H9" s="418">
        <v>0</v>
      </c>
      <c r="I9" s="420"/>
      <c r="J9" s="422"/>
    </row>
    <row r="10" spans="2:11" s="417" customFormat="1" ht="26.4" x14ac:dyDescent="0.25">
      <c r="B10" s="411"/>
      <c r="C10" s="453" t="s">
        <v>129</v>
      </c>
      <c r="D10" s="51">
        <v>7.4999999999999997E-2</v>
      </c>
      <c r="E10" s="247" t="s">
        <v>84</v>
      </c>
      <c r="F10" s="420"/>
      <c r="G10" s="413">
        <v>0</v>
      </c>
      <c r="H10" s="418">
        <v>0</v>
      </c>
      <c r="I10" s="420"/>
      <c r="J10" s="416"/>
    </row>
    <row r="11" spans="2:11" s="417" customFormat="1" ht="13.8" thickBot="1" x14ac:dyDescent="0.3">
      <c r="B11" s="421"/>
      <c r="C11" s="452" t="s">
        <v>130</v>
      </c>
      <c r="D11" s="51">
        <v>7.4999999999999997E-2</v>
      </c>
      <c r="E11" s="457">
        <v>0.111</v>
      </c>
      <c r="F11" s="423"/>
      <c r="G11" s="413">
        <v>0</v>
      </c>
      <c r="H11" s="460">
        <v>0</v>
      </c>
      <c r="I11" s="424"/>
      <c r="J11" s="422"/>
    </row>
    <row r="12" spans="2:11" s="430" customFormat="1" ht="14.4" thickBot="1" x14ac:dyDescent="0.3">
      <c r="B12" s="425"/>
      <c r="C12" s="426" t="s">
        <v>49</v>
      </c>
      <c r="D12" s="427">
        <f>SUM(D7:D11)</f>
        <v>0.5</v>
      </c>
      <c r="E12" s="815"/>
      <c r="F12" s="815"/>
      <c r="G12" s="815"/>
      <c r="H12" s="428">
        <f>SUM(H7:H11)</f>
        <v>0</v>
      </c>
      <c r="I12" s="409"/>
      <c r="J12" s="429"/>
    </row>
    <row r="13" spans="2:11" s="404" customFormat="1" ht="16.2" thickBot="1" x14ac:dyDescent="0.35">
      <c r="B13" s="403"/>
      <c r="C13" s="804" t="s">
        <v>50</v>
      </c>
      <c r="D13" s="805"/>
      <c r="E13" s="805"/>
      <c r="F13" s="805"/>
      <c r="G13" s="805"/>
      <c r="H13" s="805"/>
      <c r="I13" s="806"/>
      <c r="J13" s="431"/>
    </row>
    <row r="14" spans="2:11" ht="42" thickBot="1" x14ac:dyDescent="0.3">
      <c r="B14" s="405"/>
      <c r="C14" s="406" t="s">
        <v>36</v>
      </c>
      <c r="D14" s="407" t="s">
        <v>37</v>
      </c>
      <c r="E14" s="409" t="s">
        <v>38</v>
      </c>
      <c r="F14" s="408" t="s">
        <v>39</v>
      </c>
      <c r="G14" s="407" t="s">
        <v>40</v>
      </c>
      <c r="H14" s="448" t="s">
        <v>41</v>
      </c>
      <c r="I14" s="409" t="s">
        <v>42</v>
      </c>
      <c r="J14" s="410"/>
    </row>
    <row r="15" spans="2:11" s="417" customFormat="1" x14ac:dyDescent="0.25">
      <c r="B15" s="421"/>
      <c r="C15" s="454" t="s">
        <v>131</v>
      </c>
      <c r="D15" s="49">
        <v>0.03</v>
      </c>
      <c r="E15" s="153" t="s">
        <v>58</v>
      </c>
      <c r="F15" s="461"/>
      <c r="G15" s="51">
        <v>0</v>
      </c>
      <c r="H15" s="60">
        <v>0</v>
      </c>
      <c r="I15" s="459"/>
      <c r="J15" s="422"/>
    </row>
    <row r="16" spans="2:11" s="417" customFormat="1" x14ac:dyDescent="0.25">
      <c r="B16" s="421"/>
      <c r="C16" s="455" t="s">
        <v>132</v>
      </c>
      <c r="D16" s="51">
        <v>0.02</v>
      </c>
      <c r="E16" s="329" t="s">
        <v>133</v>
      </c>
      <c r="F16" s="462"/>
      <c r="G16" s="51">
        <v>0</v>
      </c>
      <c r="H16" s="51">
        <v>0</v>
      </c>
      <c r="I16" s="449"/>
      <c r="J16" s="422"/>
    </row>
    <row r="17" spans="2:10" s="417" customFormat="1" ht="26.4" x14ac:dyDescent="0.25">
      <c r="B17" s="421"/>
      <c r="C17" s="455" t="s">
        <v>134</v>
      </c>
      <c r="D17" s="51">
        <v>0.02</v>
      </c>
      <c r="E17" s="329" t="s">
        <v>135</v>
      </c>
      <c r="F17" s="462"/>
      <c r="G17" s="51">
        <v>0</v>
      </c>
      <c r="H17" s="51">
        <v>0</v>
      </c>
      <c r="I17" s="449" t="s">
        <v>136</v>
      </c>
      <c r="J17" s="422"/>
    </row>
    <row r="18" spans="2:10" s="417" customFormat="1" x14ac:dyDescent="0.25">
      <c r="B18" s="421"/>
      <c r="C18" s="455" t="s">
        <v>137</v>
      </c>
      <c r="D18" s="51">
        <v>0.03</v>
      </c>
      <c r="E18" s="329" t="s">
        <v>138</v>
      </c>
      <c r="F18" s="462"/>
      <c r="G18" s="51">
        <v>0</v>
      </c>
      <c r="H18" s="51">
        <v>0</v>
      </c>
      <c r="I18" s="449"/>
      <c r="J18" s="422"/>
    </row>
    <row r="19" spans="2:10" s="417" customFormat="1" x14ac:dyDescent="0.25">
      <c r="B19" s="421"/>
      <c r="C19" s="455" t="s">
        <v>139</v>
      </c>
      <c r="D19" s="126">
        <v>0.03</v>
      </c>
      <c r="E19" s="329" t="s">
        <v>140</v>
      </c>
      <c r="F19" s="337"/>
      <c r="G19" s="51">
        <v>0</v>
      </c>
      <c r="H19" s="51">
        <v>0</v>
      </c>
      <c r="I19" s="449"/>
      <c r="J19" s="422"/>
    </row>
    <row r="20" spans="2:10" s="417" customFormat="1" ht="52.8" x14ac:dyDescent="0.25">
      <c r="B20" s="421"/>
      <c r="C20" s="455" t="s">
        <v>141</v>
      </c>
      <c r="D20" s="51">
        <v>0.02</v>
      </c>
      <c r="E20" s="463">
        <v>0.67893699245682992</v>
      </c>
      <c r="F20" s="450"/>
      <c r="G20" s="51">
        <v>0</v>
      </c>
      <c r="H20" s="51">
        <v>0</v>
      </c>
      <c r="I20" s="81" t="s">
        <v>142</v>
      </c>
      <c r="J20" s="422"/>
    </row>
    <row r="21" spans="2:10" s="417" customFormat="1" x14ac:dyDescent="0.25">
      <c r="B21" s="421"/>
      <c r="C21" s="455" t="s">
        <v>143</v>
      </c>
      <c r="D21" s="126">
        <v>0.02</v>
      </c>
      <c r="E21" s="464">
        <v>1220</v>
      </c>
      <c r="F21" s="337"/>
      <c r="G21" s="51">
        <v>0</v>
      </c>
      <c r="H21" s="51">
        <v>0</v>
      </c>
      <c r="I21" s="450" t="s">
        <v>144</v>
      </c>
      <c r="J21" s="422"/>
    </row>
    <row r="22" spans="2:10" s="417" customFormat="1" ht="27" thickBot="1" x14ac:dyDescent="0.3">
      <c r="B22" s="421"/>
      <c r="C22" s="455" t="s">
        <v>145</v>
      </c>
      <c r="D22" s="51">
        <v>0.03</v>
      </c>
      <c r="E22" s="312" t="s">
        <v>146</v>
      </c>
      <c r="F22" s="251"/>
      <c r="G22" s="51">
        <v>0</v>
      </c>
      <c r="H22" s="72">
        <v>0</v>
      </c>
      <c r="I22" s="450"/>
      <c r="J22" s="422"/>
    </row>
    <row r="23" spans="2:10" s="435" customFormat="1" ht="14.4" thickBot="1" x14ac:dyDescent="0.3">
      <c r="B23" s="432"/>
      <c r="C23" s="426" t="s">
        <v>55</v>
      </c>
      <c r="D23" s="427">
        <f>SUM(D15:D22)</f>
        <v>0.19999999999999998</v>
      </c>
      <c r="E23" s="815"/>
      <c r="F23" s="815"/>
      <c r="G23" s="815"/>
      <c r="H23" s="433">
        <f>SUM(H15:H22)</f>
        <v>0</v>
      </c>
      <c r="I23" s="409"/>
      <c r="J23" s="434"/>
    </row>
    <row r="24" spans="2:10" s="404" customFormat="1" ht="16.2" thickBot="1" x14ac:dyDescent="0.35">
      <c r="B24" s="403"/>
      <c r="C24" s="804" t="s">
        <v>56</v>
      </c>
      <c r="D24" s="805"/>
      <c r="E24" s="805"/>
      <c r="F24" s="805"/>
      <c r="G24" s="805"/>
      <c r="H24" s="805"/>
      <c r="I24" s="806"/>
      <c r="J24" s="431"/>
    </row>
    <row r="25" spans="2:10" ht="42" thickBot="1" x14ac:dyDescent="0.3">
      <c r="B25" s="405"/>
      <c r="C25" s="406" t="s">
        <v>36</v>
      </c>
      <c r="D25" s="407" t="s">
        <v>37</v>
      </c>
      <c r="E25" s="409" t="s">
        <v>38</v>
      </c>
      <c r="F25" s="408" t="s">
        <v>39</v>
      </c>
      <c r="G25" s="407" t="s">
        <v>40</v>
      </c>
      <c r="H25" s="448" t="s">
        <v>41</v>
      </c>
      <c r="I25" s="409" t="s">
        <v>42</v>
      </c>
      <c r="J25" s="410"/>
    </row>
    <row r="26" spans="2:10" s="417" customFormat="1" ht="26.4" x14ac:dyDescent="0.25">
      <c r="B26" s="421"/>
      <c r="C26" s="458" t="s">
        <v>147</v>
      </c>
      <c r="D26" s="49">
        <v>7.0000000000000007E-2</v>
      </c>
      <c r="E26" s="465">
        <v>159373</v>
      </c>
      <c r="F26" s="73"/>
      <c r="G26" s="51">
        <v>0</v>
      </c>
      <c r="H26" s="60">
        <v>0</v>
      </c>
      <c r="I26" s="459"/>
      <c r="J26" s="422"/>
    </row>
    <row r="27" spans="2:10" s="417" customFormat="1" x14ac:dyDescent="0.25">
      <c r="B27" s="421"/>
      <c r="C27" s="455" t="s">
        <v>148</v>
      </c>
      <c r="D27" s="51">
        <v>0.03</v>
      </c>
      <c r="E27" s="465">
        <v>18438</v>
      </c>
      <c r="F27" s="78"/>
      <c r="G27" s="51">
        <v>0</v>
      </c>
      <c r="H27" s="51">
        <v>0</v>
      </c>
      <c r="I27" s="449"/>
      <c r="J27" s="422"/>
    </row>
    <row r="28" spans="2:10" s="417" customFormat="1" x14ac:dyDescent="0.25">
      <c r="B28" s="421"/>
      <c r="C28" s="455" t="s">
        <v>149</v>
      </c>
      <c r="D28" s="51">
        <v>0.04</v>
      </c>
      <c r="E28" s="466">
        <v>0.54600000000000004</v>
      </c>
      <c r="F28" s="78"/>
      <c r="G28" s="51">
        <v>0</v>
      </c>
      <c r="H28" s="72">
        <v>0</v>
      </c>
      <c r="I28" s="450" t="s">
        <v>150</v>
      </c>
      <c r="J28" s="422"/>
    </row>
    <row r="29" spans="2:10" s="417" customFormat="1" ht="26.4" x14ac:dyDescent="0.25">
      <c r="B29" s="421"/>
      <c r="C29" s="455" t="s">
        <v>151</v>
      </c>
      <c r="D29" s="51">
        <v>0.03</v>
      </c>
      <c r="E29" s="467">
        <v>0.88</v>
      </c>
      <c r="F29" s="78"/>
      <c r="G29" s="51">
        <v>0</v>
      </c>
      <c r="H29" s="51">
        <v>0</v>
      </c>
      <c r="I29" s="81" t="s">
        <v>152</v>
      </c>
      <c r="J29" s="422"/>
    </row>
    <row r="30" spans="2:10" s="417" customFormat="1" ht="13.8" thickBot="1" x14ac:dyDescent="0.3">
      <c r="B30" s="421"/>
      <c r="C30" s="455" t="s">
        <v>153</v>
      </c>
      <c r="D30" s="51">
        <v>0.03</v>
      </c>
      <c r="E30" s="468">
        <v>0.72</v>
      </c>
      <c r="F30" s="251"/>
      <c r="G30" s="51">
        <v>0</v>
      </c>
      <c r="H30" s="51">
        <v>0</v>
      </c>
      <c r="I30" s="81" t="s">
        <v>154</v>
      </c>
      <c r="J30" s="422"/>
    </row>
    <row r="31" spans="2:10" s="435" customFormat="1" ht="14.4" thickBot="1" x14ac:dyDescent="0.3">
      <c r="B31" s="432"/>
      <c r="C31" s="426" t="s">
        <v>63</v>
      </c>
      <c r="D31" s="427">
        <f>SUM(D26:D30)</f>
        <v>0.2</v>
      </c>
      <c r="E31" s="815"/>
      <c r="F31" s="815"/>
      <c r="G31" s="815"/>
      <c r="H31" s="436">
        <f>SUM(H26:H30)</f>
        <v>0</v>
      </c>
      <c r="I31" s="409"/>
      <c r="J31" s="434"/>
    </row>
    <row r="32" spans="2:10" s="404" customFormat="1" ht="16.2" thickBot="1" x14ac:dyDescent="0.35">
      <c r="B32" s="403"/>
      <c r="C32" s="816" t="s">
        <v>64</v>
      </c>
      <c r="D32" s="817"/>
      <c r="E32" s="817"/>
      <c r="F32" s="817"/>
      <c r="G32" s="817"/>
      <c r="H32" s="817"/>
      <c r="I32" s="806"/>
      <c r="J32" s="431"/>
    </row>
    <row r="33" spans="2:11" ht="28.2" thickBot="1" x14ac:dyDescent="0.3">
      <c r="B33" s="405"/>
      <c r="C33" s="437" t="s">
        <v>36</v>
      </c>
      <c r="D33" s="407" t="s">
        <v>37</v>
      </c>
      <c r="E33" s="409" t="s">
        <v>38</v>
      </c>
      <c r="F33" s="408" t="s">
        <v>39</v>
      </c>
      <c r="G33" s="407" t="s">
        <v>40</v>
      </c>
      <c r="H33" s="448" t="s">
        <v>41</v>
      </c>
      <c r="I33" s="438" t="s">
        <v>42</v>
      </c>
      <c r="J33" s="410"/>
    </row>
    <row r="34" spans="2:11" s="417" customFormat="1" ht="39.6" x14ac:dyDescent="0.25">
      <c r="B34" s="411"/>
      <c r="C34" s="469" t="s">
        <v>155</v>
      </c>
      <c r="D34" s="51">
        <v>0.04</v>
      </c>
      <c r="E34" s="160" t="s">
        <v>156</v>
      </c>
      <c r="F34" s="147"/>
      <c r="G34" s="51">
        <v>0</v>
      </c>
      <c r="H34" s="60">
        <v>0</v>
      </c>
      <c r="I34" s="470"/>
      <c r="J34" s="416"/>
      <c r="K34" s="439"/>
    </row>
    <row r="35" spans="2:11" s="417" customFormat="1" ht="39.6" x14ac:dyDescent="0.25">
      <c r="B35" s="411"/>
      <c r="C35" s="469" t="s">
        <v>68</v>
      </c>
      <c r="D35" s="51">
        <v>0.03</v>
      </c>
      <c r="E35" s="312" t="s">
        <v>865</v>
      </c>
      <c r="F35" s="78"/>
      <c r="G35" s="51">
        <v>0</v>
      </c>
      <c r="H35" s="51">
        <v>0</v>
      </c>
      <c r="I35" s="470" t="s">
        <v>158</v>
      </c>
      <c r="J35" s="416"/>
      <c r="K35" s="439"/>
    </row>
    <row r="36" spans="2:11" s="417" customFormat="1" ht="13.8" thickBot="1" x14ac:dyDescent="0.3">
      <c r="B36" s="411"/>
      <c r="C36" s="469" t="s">
        <v>96</v>
      </c>
      <c r="D36" s="51">
        <v>0.03</v>
      </c>
      <c r="E36" s="338" t="s">
        <v>159</v>
      </c>
      <c r="F36" s="471"/>
      <c r="G36" s="51">
        <v>0</v>
      </c>
      <c r="H36" s="51">
        <v>0</v>
      </c>
      <c r="I36" s="470"/>
      <c r="J36" s="416"/>
      <c r="K36" s="439"/>
    </row>
    <row r="37" spans="2:11" s="435" customFormat="1" ht="14.4" thickBot="1" x14ac:dyDescent="0.3">
      <c r="B37" s="432"/>
      <c r="C37" s="426" t="s">
        <v>70</v>
      </c>
      <c r="D37" s="30">
        <f>SUM(D34:D36)</f>
        <v>0.1</v>
      </c>
      <c r="E37" s="778"/>
      <c r="F37" s="779"/>
      <c r="G37" s="780"/>
      <c r="H37" s="62">
        <f>SUM(H34:H36)</f>
        <v>0</v>
      </c>
      <c r="I37" s="408"/>
      <c r="J37" s="434"/>
    </row>
    <row r="38" spans="2:11" s="435" customFormat="1" ht="14.4" thickBot="1" x14ac:dyDescent="0.3">
      <c r="B38" s="432"/>
      <c r="C38" s="440" t="s">
        <v>71</v>
      </c>
      <c r="D38" s="37">
        <f>D37+D31+D23+D12</f>
        <v>1</v>
      </c>
      <c r="E38" s="799"/>
      <c r="F38" s="799"/>
      <c r="G38" s="799"/>
      <c r="H38" s="799"/>
      <c r="I38" s="800"/>
      <c r="J38" s="434"/>
    </row>
    <row r="39" spans="2:11" s="435" customFormat="1" ht="14.4" thickBot="1" x14ac:dyDescent="0.3">
      <c r="B39" s="432"/>
      <c r="C39" s="801" t="s">
        <v>72</v>
      </c>
      <c r="D39" s="802"/>
      <c r="E39" s="802"/>
      <c r="F39" s="803"/>
      <c r="G39" s="787">
        <f>H37+H31+H23+H12</f>
        <v>0</v>
      </c>
      <c r="H39" s="788"/>
      <c r="I39" s="789"/>
      <c r="J39" s="434"/>
    </row>
    <row r="40" spans="2:11" ht="28.2" thickBot="1" x14ac:dyDescent="0.5">
      <c r="B40" s="441"/>
      <c r="C40" s="442"/>
      <c r="D40" s="442"/>
      <c r="E40" s="443"/>
      <c r="F40" s="444"/>
      <c r="G40" s="445"/>
      <c r="H40" s="445"/>
      <c r="I40" s="446"/>
      <c r="J40" s="447"/>
    </row>
  </sheetData>
  <mergeCells count="14">
    <mergeCell ref="E38:I38"/>
    <mergeCell ref="C39:F39"/>
    <mergeCell ref="G39:I39"/>
    <mergeCell ref="C13:I13"/>
    <mergeCell ref="C3:E3"/>
    <mergeCell ref="F3:I3"/>
    <mergeCell ref="F4:I4"/>
    <mergeCell ref="C5:I5"/>
    <mergeCell ref="E12:G12"/>
    <mergeCell ref="E23:G23"/>
    <mergeCell ref="C24:I24"/>
    <mergeCell ref="E31:G31"/>
    <mergeCell ref="C32:I32"/>
    <mergeCell ref="E37:G37"/>
  </mergeCells>
  <conditionalFormatting sqref="D38">
    <cfRule type="cellIs" dxfId="62" priority="1" stopIfTrue="1" operator="greaterThan">
      <formula>1</formula>
    </cfRule>
    <cfRule type="cellIs" dxfId="61" priority="2" stopIfTrue="1" operator="lessThan">
      <formula>1</formula>
    </cfRule>
  </conditionalFormatting>
  <conditionalFormatting sqref="H12">
    <cfRule type="expression" dxfId="60" priority="3" stopIfTrue="1">
      <formula>"if($H$14/$D$14)&lt;80"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3DFB-C93D-4255-80A5-134FE439F08F}">
  <sheetPr codeName="Sheet6"/>
  <dimension ref="B1:O37"/>
  <sheetViews>
    <sheetView zoomScale="80" zoomScaleNormal="80" workbookViewId="0">
      <selection activeCell="C32" sqref="C32"/>
    </sheetView>
  </sheetViews>
  <sheetFormatPr defaultColWidth="8.77734375" defaultRowHeight="13.2" x14ac:dyDescent="0.25"/>
  <cols>
    <col min="1" max="1" width="1.5546875" customWidth="1"/>
    <col min="2" max="2" width="1.77734375" customWidth="1"/>
    <col min="3" max="3" width="72.77734375" customWidth="1"/>
    <col min="4" max="4" width="14.44140625" customWidth="1"/>
    <col min="5" max="5" width="69.44140625" style="5" customWidth="1"/>
    <col min="6" max="6" width="20.77734375" style="42" customWidth="1"/>
    <col min="7" max="7" width="18.44140625" style="5" customWidth="1"/>
    <col min="8" max="8" width="19" style="5" customWidth="1"/>
    <col min="9" max="9" width="37" style="5" customWidth="1"/>
    <col min="10" max="10" width="2.5546875" customWidth="1"/>
    <col min="11" max="11" width="11.21875" bestFit="1" customWidth="1"/>
    <col min="12" max="12" width="11.21875" customWidth="1"/>
    <col min="13" max="13" width="11.77734375" customWidth="1"/>
    <col min="15" max="15" width="22.77734375" bestFit="1" customWidth="1"/>
  </cols>
  <sheetData>
    <row r="1" spans="2:13" ht="13.8" thickBot="1" x14ac:dyDescent="0.3"/>
    <row r="2" spans="2:13" s="1" customFormat="1" ht="7.8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3" s="2" customFormat="1" ht="24.6" x14ac:dyDescent="0.4">
      <c r="B3" s="14"/>
      <c r="C3" s="790" t="s">
        <v>160</v>
      </c>
      <c r="D3" s="791"/>
      <c r="E3" s="792"/>
      <c r="F3" s="793" t="s">
        <v>33</v>
      </c>
      <c r="G3" s="794"/>
      <c r="H3" s="794"/>
      <c r="I3" s="795"/>
      <c r="J3" s="26"/>
    </row>
    <row r="4" spans="2:13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3" s="3" customFormat="1" ht="23.4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3" s="41" customFormat="1" ht="28.2" thickBot="1" x14ac:dyDescent="0.3">
      <c r="B6" s="108"/>
      <c r="C6" s="231" t="s">
        <v>36</v>
      </c>
      <c r="D6" s="232" t="s">
        <v>37</v>
      </c>
      <c r="E6" s="232" t="s">
        <v>38</v>
      </c>
      <c r="F6" s="232" t="s">
        <v>39</v>
      </c>
      <c r="G6" s="232" t="s">
        <v>40</v>
      </c>
      <c r="H6" s="232" t="s">
        <v>41</v>
      </c>
      <c r="I6" s="233" t="s">
        <v>42</v>
      </c>
      <c r="J6" s="109"/>
    </row>
    <row r="7" spans="2:13" s="41" customFormat="1" x14ac:dyDescent="0.25">
      <c r="B7" s="108"/>
      <c r="C7" s="110" t="s">
        <v>161</v>
      </c>
      <c r="D7" s="60">
        <v>2.5000000000000001E-2</v>
      </c>
      <c r="E7" s="249" t="s">
        <v>162</v>
      </c>
      <c r="F7" s="364"/>
      <c r="G7" s="60">
        <v>0</v>
      </c>
      <c r="H7" s="60">
        <f t="shared" ref="H7" si="0">G7*D7</f>
        <v>0</v>
      </c>
      <c r="I7" s="111"/>
      <c r="J7" s="109"/>
    </row>
    <row r="8" spans="2:13" s="41" customFormat="1" ht="26.4" x14ac:dyDescent="0.25">
      <c r="B8" s="108"/>
      <c r="C8" s="365" t="s">
        <v>163</v>
      </c>
      <c r="D8" s="39">
        <v>0.2</v>
      </c>
      <c r="E8" s="153" t="s">
        <v>164</v>
      </c>
      <c r="F8" s="157"/>
      <c r="G8" s="51">
        <v>0</v>
      </c>
      <c r="H8" s="51">
        <f>G8*D8</f>
        <v>0</v>
      </c>
      <c r="I8" s="366"/>
      <c r="J8" s="109"/>
    </row>
    <row r="9" spans="2:13" s="41" customFormat="1" ht="26.4" x14ac:dyDescent="0.25">
      <c r="B9" s="108"/>
      <c r="C9" s="113" t="s">
        <v>165</v>
      </c>
      <c r="D9" s="51">
        <v>0.1</v>
      </c>
      <c r="E9" s="153" t="s">
        <v>166</v>
      </c>
      <c r="F9" s="157"/>
      <c r="G9" s="51">
        <v>0</v>
      </c>
      <c r="H9" s="51">
        <f t="shared" ref="H9:H13" si="1">G9*D9</f>
        <v>0</v>
      </c>
      <c r="I9" s="366"/>
      <c r="J9" s="109"/>
    </row>
    <row r="10" spans="2:13" s="41" customFormat="1" ht="26.4" x14ac:dyDescent="0.25">
      <c r="B10" s="108"/>
      <c r="C10" s="75" t="s">
        <v>167</v>
      </c>
      <c r="D10" s="51">
        <v>2.5000000000000001E-2</v>
      </c>
      <c r="E10" s="153" t="s">
        <v>168</v>
      </c>
      <c r="F10" s="157"/>
      <c r="G10" s="51">
        <v>0</v>
      </c>
      <c r="H10" s="51">
        <f t="shared" si="1"/>
        <v>0</v>
      </c>
      <c r="I10" s="366"/>
      <c r="J10" s="109"/>
    </row>
    <row r="11" spans="2:13" s="41" customFormat="1" x14ac:dyDescent="0.25">
      <c r="B11" s="108"/>
      <c r="C11" s="113" t="s">
        <v>169</v>
      </c>
      <c r="D11" s="51">
        <v>0.05</v>
      </c>
      <c r="E11" s="153" t="s">
        <v>170</v>
      </c>
      <c r="F11" s="157"/>
      <c r="G11" s="51">
        <v>0</v>
      </c>
      <c r="H11" s="51">
        <f t="shared" si="1"/>
        <v>0</v>
      </c>
      <c r="I11" s="366"/>
      <c r="J11" s="109"/>
    </row>
    <row r="12" spans="2:13" s="41" customFormat="1" x14ac:dyDescent="0.25">
      <c r="B12" s="108"/>
      <c r="C12" s="367" t="s">
        <v>171</v>
      </c>
      <c r="D12" s="51">
        <v>0.05</v>
      </c>
      <c r="E12" s="153" t="s">
        <v>172</v>
      </c>
      <c r="F12" s="157"/>
      <c r="G12" s="51">
        <v>0</v>
      </c>
      <c r="H12" s="51">
        <f t="shared" si="1"/>
        <v>0</v>
      </c>
      <c r="I12" s="366"/>
      <c r="J12" s="109"/>
    </row>
    <row r="13" spans="2:13" s="41" customFormat="1" ht="13.8" thickBot="1" x14ac:dyDescent="0.3">
      <c r="B13" s="108"/>
      <c r="C13" s="343" t="s">
        <v>173</v>
      </c>
      <c r="D13" s="53">
        <v>0.05</v>
      </c>
      <c r="E13" s="368" t="s">
        <v>174</v>
      </c>
      <c r="F13" s="335"/>
      <c r="G13" s="53">
        <v>0</v>
      </c>
      <c r="H13" s="53">
        <f t="shared" si="1"/>
        <v>0</v>
      </c>
      <c r="I13" s="369"/>
      <c r="J13" s="109"/>
    </row>
    <row r="14" spans="2:13" s="23" customFormat="1" ht="14.4" thickBot="1" x14ac:dyDescent="0.3">
      <c r="B14" s="21"/>
      <c r="C14" s="234" t="s">
        <v>49</v>
      </c>
      <c r="D14" s="235">
        <f>SUM(D7:D13)</f>
        <v>0.5</v>
      </c>
      <c r="E14" s="818"/>
      <c r="F14" s="819"/>
      <c r="G14" s="820"/>
      <c r="H14" s="82">
        <f>SUM(H7:H13)</f>
        <v>0</v>
      </c>
      <c r="I14" s="236"/>
      <c r="J14" s="22"/>
      <c r="L14" s="70"/>
      <c r="M14" s="61"/>
    </row>
    <row r="15" spans="2:13" s="3" customFormat="1" ht="16.2" thickBot="1" x14ac:dyDescent="0.35">
      <c r="B15" s="15"/>
      <c r="C15" s="781" t="s">
        <v>50</v>
      </c>
      <c r="D15" s="782"/>
      <c r="E15" s="782"/>
      <c r="F15" s="782"/>
      <c r="G15" s="782"/>
      <c r="H15" s="782"/>
      <c r="I15" s="783"/>
      <c r="J15" s="6"/>
      <c r="L15" s="63"/>
      <c r="M15" s="64"/>
    </row>
    <row r="16" spans="2:13" s="41" customFormat="1" ht="28.2" thickBot="1" x14ac:dyDescent="0.3">
      <c r="B16" s="108"/>
      <c r="C16" s="231" t="s">
        <v>36</v>
      </c>
      <c r="D16" s="207" t="s">
        <v>37</v>
      </c>
      <c r="E16" s="208" t="s">
        <v>38</v>
      </c>
      <c r="F16" s="207" t="s">
        <v>39</v>
      </c>
      <c r="G16" s="207" t="s">
        <v>40</v>
      </c>
      <c r="H16" s="207" t="s">
        <v>41</v>
      </c>
      <c r="I16" s="208" t="s">
        <v>42</v>
      </c>
      <c r="J16" s="109"/>
    </row>
    <row r="17" spans="2:15" s="41" customFormat="1" ht="39.6" x14ac:dyDescent="0.25">
      <c r="B17" s="123"/>
      <c r="C17" s="238" t="s">
        <v>175</v>
      </c>
      <c r="D17" s="362">
        <v>7.0000000000000007E-2</v>
      </c>
      <c r="E17" s="57" t="s">
        <v>176</v>
      </c>
      <c r="F17" s="76"/>
      <c r="G17" s="51">
        <v>0</v>
      </c>
      <c r="H17" s="72">
        <f t="shared" ref="H17:H19" si="2">G17*D17</f>
        <v>0</v>
      </c>
      <c r="I17" s="73"/>
      <c r="J17" s="124"/>
      <c r="L17" s="70"/>
      <c r="M17" s="70"/>
    </row>
    <row r="18" spans="2:15" s="41" customFormat="1" ht="52.8" x14ac:dyDescent="0.25">
      <c r="B18" s="123"/>
      <c r="C18" s="240" t="s">
        <v>177</v>
      </c>
      <c r="D18" s="248">
        <v>7.0000000000000007E-2</v>
      </c>
      <c r="E18" s="77" t="s">
        <v>178</v>
      </c>
      <c r="F18" s="74"/>
      <c r="G18" s="51">
        <v>0</v>
      </c>
      <c r="H18" s="72">
        <f t="shared" si="2"/>
        <v>0</v>
      </c>
      <c r="I18" s="78" t="s">
        <v>179</v>
      </c>
      <c r="J18" s="124"/>
      <c r="L18" s="70"/>
      <c r="M18" s="70"/>
    </row>
    <row r="19" spans="2:15" s="41" customFormat="1" ht="53.4" thickBot="1" x14ac:dyDescent="0.3">
      <c r="B19" s="123"/>
      <c r="C19" s="363" t="s">
        <v>180</v>
      </c>
      <c r="D19" s="370">
        <v>0.06</v>
      </c>
      <c r="E19" s="77" t="s">
        <v>178</v>
      </c>
      <c r="F19" s="128"/>
      <c r="G19" s="51">
        <v>0</v>
      </c>
      <c r="H19" s="72">
        <f t="shared" si="2"/>
        <v>0</v>
      </c>
      <c r="I19" s="78" t="s">
        <v>179</v>
      </c>
      <c r="J19" s="124"/>
      <c r="L19" s="70"/>
      <c r="M19" s="70"/>
    </row>
    <row r="20" spans="2:15" s="20" customFormat="1" ht="14.4" thickBot="1" x14ac:dyDescent="0.3">
      <c r="B20" s="18"/>
      <c r="C20" s="234" t="s">
        <v>55</v>
      </c>
      <c r="D20" s="30">
        <f>SUM(D17:D19)</f>
        <v>0.2</v>
      </c>
      <c r="E20" s="779"/>
      <c r="F20" s="779"/>
      <c r="G20" s="779"/>
      <c r="H20" s="62">
        <f>SUM(H17:H19)</f>
        <v>0</v>
      </c>
      <c r="I20" s="28"/>
      <c r="J20" s="19"/>
      <c r="L20" s="41"/>
      <c r="M20" s="146"/>
      <c r="N20" s="41"/>
    </row>
    <row r="21" spans="2:15" s="3" customFormat="1" ht="16.2" thickBot="1" x14ac:dyDescent="0.35">
      <c r="B21" s="15"/>
      <c r="C21" s="784" t="s">
        <v>56</v>
      </c>
      <c r="D21" s="785"/>
      <c r="E21" s="785"/>
      <c r="F21" s="785"/>
      <c r="G21" s="785"/>
      <c r="H21" s="785"/>
      <c r="I21" s="786"/>
      <c r="J21" s="6"/>
      <c r="L21" s="41"/>
      <c r="M21" s="41"/>
      <c r="N21" s="41"/>
    </row>
    <row r="22" spans="2:15" s="41" customFormat="1" ht="28.2" thickBot="1" x14ac:dyDescent="0.3">
      <c r="B22" s="108"/>
      <c r="C22" s="206" t="s">
        <v>36</v>
      </c>
      <c r="D22" s="207" t="s">
        <v>37</v>
      </c>
      <c r="E22" s="208" t="s">
        <v>38</v>
      </c>
      <c r="F22" s="207" t="s">
        <v>39</v>
      </c>
      <c r="G22" s="207" t="s">
        <v>40</v>
      </c>
      <c r="H22" s="207" t="s">
        <v>41</v>
      </c>
      <c r="I22" s="208" t="s">
        <v>42</v>
      </c>
      <c r="J22" s="109"/>
      <c r="L22" s="20"/>
      <c r="M22" s="20"/>
      <c r="N22" s="20"/>
    </row>
    <row r="23" spans="2:15" ht="26.4" x14ac:dyDescent="0.3">
      <c r="B23" s="34"/>
      <c r="C23" s="50" t="s">
        <v>181</v>
      </c>
      <c r="D23" s="49">
        <v>0.03</v>
      </c>
      <c r="E23" s="253" t="s">
        <v>182</v>
      </c>
      <c r="F23" s="73"/>
      <c r="G23" s="51">
        <v>0</v>
      </c>
      <c r="H23" s="60">
        <f t="shared" ref="H23:H28" si="3">G23*D23</f>
        <v>0</v>
      </c>
      <c r="I23" s="83"/>
      <c r="J23" s="35"/>
      <c r="L23" s="3"/>
      <c r="M23" s="3"/>
      <c r="N23" s="3"/>
    </row>
    <row r="24" spans="2:15" ht="26.4" x14ac:dyDescent="0.3">
      <c r="B24" s="34"/>
      <c r="C24" s="50" t="s">
        <v>183</v>
      </c>
      <c r="D24" s="51">
        <v>0.04</v>
      </c>
      <c r="E24" s="253" t="s">
        <v>184</v>
      </c>
      <c r="F24" s="78"/>
      <c r="G24" s="51">
        <v>0</v>
      </c>
      <c r="H24" s="51">
        <f t="shared" si="3"/>
        <v>0</v>
      </c>
      <c r="I24" s="81"/>
      <c r="J24" s="35"/>
      <c r="L24" s="3"/>
      <c r="M24" s="3"/>
      <c r="N24" s="3"/>
    </row>
    <row r="25" spans="2:15" ht="26.4" x14ac:dyDescent="0.25">
      <c r="B25" s="34"/>
      <c r="C25" s="50" t="s">
        <v>185</v>
      </c>
      <c r="D25" s="51">
        <v>0.04</v>
      </c>
      <c r="E25" s="312" t="s">
        <v>186</v>
      </c>
      <c r="F25" s="78"/>
      <c r="G25" s="51">
        <v>0</v>
      </c>
      <c r="H25" s="51">
        <f>G25*D25</f>
        <v>0</v>
      </c>
      <c r="I25" s="81"/>
      <c r="J25" s="35"/>
      <c r="L25" s="41"/>
      <c r="M25" s="41"/>
      <c r="N25" s="41"/>
    </row>
    <row r="26" spans="2:15" ht="15.6" x14ac:dyDescent="0.3">
      <c r="B26" s="34"/>
      <c r="C26" s="125" t="s">
        <v>187</v>
      </c>
      <c r="D26" s="51">
        <v>0.03</v>
      </c>
      <c r="E26" s="253" t="s">
        <v>188</v>
      </c>
      <c r="F26" s="78"/>
      <c r="G26" s="51">
        <v>0</v>
      </c>
      <c r="H26" s="51">
        <f t="shared" si="3"/>
        <v>0</v>
      </c>
      <c r="I26" s="81"/>
      <c r="J26" s="35"/>
      <c r="L26" s="3"/>
      <c r="M26" s="3"/>
      <c r="N26" s="3"/>
    </row>
    <row r="27" spans="2:15" ht="26.4" x14ac:dyDescent="0.3">
      <c r="B27" s="34"/>
      <c r="C27" s="125" t="s">
        <v>189</v>
      </c>
      <c r="D27" s="51">
        <v>0.03</v>
      </c>
      <c r="E27" s="253" t="s">
        <v>190</v>
      </c>
      <c r="F27" s="78"/>
      <c r="G27" s="51">
        <v>0</v>
      </c>
      <c r="H27" s="51">
        <f t="shared" si="3"/>
        <v>0</v>
      </c>
      <c r="I27" s="81"/>
      <c r="J27" s="35"/>
      <c r="L27" s="3"/>
      <c r="M27" s="3"/>
      <c r="N27" s="3"/>
    </row>
    <row r="28" spans="2:15" ht="13.8" thickBot="1" x14ac:dyDescent="0.3">
      <c r="B28" s="34"/>
      <c r="C28" s="125" t="s">
        <v>191</v>
      </c>
      <c r="D28" s="265">
        <v>0.03</v>
      </c>
      <c r="E28" s="312" t="s">
        <v>192</v>
      </c>
      <c r="F28" s="371"/>
      <c r="G28" s="51">
        <v>0</v>
      </c>
      <c r="H28" s="53">
        <f t="shared" si="3"/>
        <v>0</v>
      </c>
      <c r="I28" s="351"/>
      <c r="J28" s="35"/>
      <c r="K28" s="117"/>
      <c r="L28" s="117"/>
    </row>
    <row r="29" spans="2:15" s="20" customFormat="1" ht="14.4" thickBot="1" x14ac:dyDescent="0.3">
      <c r="B29" s="18"/>
      <c r="C29" s="27" t="s">
        <v>63</v>
      </c>
      <c r="D29" s="30">
        <f>SUM(D23:D28)</f>
        <v>0.2</v>
      </c>
      <c r="E29" s="779"/>
      <c r="F29" s="779"/>
      <c r="G29" s="779"/>
      <c r="H29" s="29">
        <f>SUM(H23:H28)</f>
        <v>0</v>
      </c>
      <c r="I29" s="28"/>
      <c r="J29" s="19"/>
    </row>
    <row r="30" spans="2:15" s="3" customFormat="1" ht="16.2" thickBot="1" x14ac:dyDescent="0.35">
      <c r="B30" s="15"/>
      <c r="C30" s="781" t="s">
        <v>64</v>
      </c>
      <c r="D30" s="782"/>
      <c r="E30" s="782"/>
      <c r="F30" s="782"/>
      <c r="G30" s="782"/>
      <c r="H30" s="782"/>
      <c r="I30" s="786"/>
      <c r="J30" s="6"/>
    </row>
    <row r="31" spans="2:15" s="41" customFormat="1" ht="28.2" thickBot="1" x14ac:dyDescent="0.3">
      <c r="B31" s="108"/>
      <c r="C31" s="372" t="s">
        <v>36</v>
      </c>
      <c r="D31" s="207" t="s">
        <v>37</v>
      </c>
      <c r="E31" s="208" t="s">
        <v>38</v>
      </c>
      <c r="F31" s="207" t="s">
        <v>39</v>
      </c>
      <c r="G31" s="207" t="s">
        <v>40</v>
      </c>
      <c r="H31" s="207" t="s">
        <v>41</v>
      </c>
      <c r="I31" s="210" t="s">
        <v>42</v>
      </c>
      <c r="J31" s="109"/>
      <c r="L31" s="151"/>
    </row>
    <row r="32" spans="2:15" s="41" customFormat="1" ht="14.4" x14ac:dyDescent="0.25">
      <c r="B32" s="108"/>
      <c r="C32" s="238" t="s">
        <v>193</v>
      </c>
      <c r="D32" s="248">
        <v>0.05</v>
      </c>
      <c r="E32" s="114" t="s">
        <v>194</v>
      </c>
      <c r="F32" s="55"/>
      <c r="G32" s="51">
        <v>0</v>
      </c>
      <c r="H32" s="60">
        <f t="shared" ref="H32:H33" si="4">G32*D32</f>
        <v>0</v>
      </c>
      <c r="I32" s="159" t="s">
        <v>195</v>
      </c>
      <c r="J32" s="109"/>
      <c r="K32" s="131"/>
      <c r="M32" s="151"/>
      <c r="N32" s="151"/>
      <c r="O32" s="146"/>
    </row>
    <row r="33" spans="2:13" s="41" customFormat="1" ht="40.200000000000003" thickBot="1" x14ac:dyDescent="0.3">
      <c r="B33" s="108"/>
      <c r="C33" s="360" t="s">
        <v>196</v>
      </c>
      <c r="D33" s="248">
        <v>0.05</v>
      </c>
      <c r="E33" s="114" t="s">
        <v>197</v>
      </c>
      <c r="F33" s="373"/>
      <c r="G33" s="79">
        <v>0</v>
      </c>
      <c r="H33" s="51">
        <f t="shared" si="4"/>
        <v>0</v>
      </c>
      <c r="I33" s="159"/>
      <c r="J33" s="109"/>
    </row>
    <row r="34" spans="2:13" s="20" customFormat="1" ht="14.4" thickBot="1" x14ac:dyDescent="0.3">
      <c r="B34" s="18"/>
      <c r="C34" s="234" t="s">
        <v>70</v>
      </c>
      <c r="D34" s="30">
        <f>SUM(D32:D33)</f>
        <v>0.1</v>
      </c>
      <c r="E34" s="778"/>
      <c r="F34" s="779"/>
      <c r="G34" s="780"/>
      <c r="H34" s="62">
        <f>SUM(H32:H33)</f>
        <v>0</v>
      </c>
      <c r="I34" s="40"/>
      <c r="J34" s="19"/>
      <c r="L34" s="67"/>
      <c r="M34" s="65"/>
    </row>
    <row r="35" spans="2:13" s="20" customFormat="1" ht="14.4" thickBot="1" x14ac:dyDescent="0.3">
      <c r="B35" s="18"/>
      <c r="C35" s="36" t="s">
        <v>71</v>
      </c>
      <c r="D35" s="37">
        <f>D34+D29+D20+D14</f>
        <v>1</v>
      </c>
      <c r="E35" s="799"/>
      <c r="F35" s="799"/>
      <c r="G35" s="799"/>
      <c r="H35" s="799"/>
      <c r="I35" s="800"/>
      <c r="J35" s="19"/>
      <c r="L35" s="69"/>
      <c r="M35" s="66"/>
    </row>
    <row r="36" spans="2:13" s="20" customFormat="1" ht="14.4" thickBot="1" x14ac:dyDescent="0.3">
      <c r="B36" s="18"/>
      <c r="C36" s="775" t="s">
        <v>72</v>
      </c>
      <c r="D36" s="776"/>
      <c r="E36" s="776"/>
      <c r="F36" s="777"/>
      <c r="G36" s="787">
        <f>H34+H29+H20+H14</f>
        <v>0</v>
      </c>
      <c r="H36" s="788"/>
      <c r="I36" s="789"/>
      <c r="J36" s="19"/>
      <c r="M36" s="67"/>
    </row>
    <row r="37" spans="2:13" ht="28.2" thickBot="1" x14ac:dyDescent="0.5">
      <c r="B37" s="8"/>
      <c r="C37" s="9"/>
      <c r="D37" s="9"/>
      <c r="E37" s="10"/>
      <c r="F37" s="44"/>
      <c r="G37" s="11"/>
      <c r="H37" s="11"/>
      <c r="I37" s="12"/>
      <c r="J37" s="7"/>
      <c r="M37" s="68"/>
    </row>
  </sheetData>
  <mergeCells count="14">
    <mergeCell ref="C15:I15"/>
    <mergeCell ref="C3:E3"/>
    <mergeCell ref="F3:I3"/>
    <mergeCell ref="F4:I4"/>
    <mergeCell ref="C5:I5"/>
    <mergeCell ref="E14:G14"/>
    <mergeCell ref="C36:F36"/>
    <mergeCell ref="G36:I36"/>
    <mergeCell ref="E20:G20"/>
    <mergeCell ref="C21:I21"/>
    <mergeCell ref="E29:G29"/>
    <mergeCell ref="C30:I30"/>
    <mergeCell ref="E34:G34"/>
    <mergeCell ref="E35:I35"/>
  </mergeCells>
  <conditionalFormatting sqref="D35">
    <cfRule type="cellIs" dxfId="59" priority="1" stopIfTrue="1" operator="greaterThan">
      <formula>1</formula>
    </cfRule>
    <cfRule type="cellIs" dxfId="58" priority="2" stopIfTrue="1" operator="lessThan">
      <formula>1</formula>
    </cfRule>
  </conditionalFormatting>
  <conditionalFormatting sqref="H14">
    <cfRule type="expression" dxfId="57" priority="3" stopIfTrue="1">
      <formula>"if($H$14/$D$14)&lt;80"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DC15-24D9-4A7C-9F91-766E0AE04A19}">
  <sheetPr codeName="Sheet7"/>
  <dimension ref="B1:K41"/>
  <sheetViews>
    <sheetView zoomScale="80" zoomScaleNormal="80" workbookViewId="0">
      <selection activeCell="F32" sqref="F32"/>
    </sheetView>
  </sheetViews>
  <sheetFormatPr defaultColWidth="8.5546875" defaultRowHeight="13.2" x14ac:dyDescent="0.25"/>
  <cols>
    <col min="1" max="1" width="1.5546875" customWidth="1"/>
    <col min="2" max="2" width="1.77734375" customWidth="1"/>
    <col min="3" max="3" width="80.77734375" customWidth="1"/>
    <col min="4" max="4" width="14.5546875" customWidth="1"/>
    <col min="5" max="5" width="63.21875" style="5" customWidth="1"/>
    <col min="6" max="6" width="19.77734375" style="42" customWidth="1"/>
    <col min="7" max="7" width="19.44140625" style="5" customWidth="1"/>
    <col min="8" max="8" width="18.21875" style="5" customWidth="1"/>
    <col min="9" max="9" width="32.21875" style="5" customWidth="1"/>
    <col min="10" max="10" width="2.5546875" customWidth="1"/>
    <col min="11" max="11" width="11.44140625" bestFit="1" customWidth="1"/>
  </cols>
  <sheetData>
    <row r="1" spans="2:11" ht="13.8" thickBot="1" x14ac:dyDescent="0.3"/>
    <row r="2" spans="2:11" s="1" customFormat="1" ht="9.6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1" s="2" customFormat="1" ht="24.6" x14ac:dyDescent="0.4">
      <c r="B3" s="14"/>
      <c r="C3" s="790" t="s">
        <v>198</v>
      </c>
      <c r="D3" s="791"/>
      <c r="E3" s="792"/>
      <c r="F3" s="793" t="s">
        <v>33</v>
      </c>
      <c r="G3" s="794"/>
      <c r="H3" s="794"/>
      <c r="I3" s="795"/>
      <c r="J3" s="26"/>
    </row>
    <row r="4" spans="2:11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1" s="3" customFormat="1" ht="23.4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1" s="41" customFormat="1" ht="28.2" thickBot="1" x14ac:dyDescent="0.3">
      <c r="B6" s="108"/>
      <c r="C6" s="339" t="s">
        <v>36</v>
      </c>
      <c r="D6" s="207" t="s">
        <v>37</v>
      </c>
      <c r="E6" s="207" t="s">
        <v>38</v>
      </c>
      <c r="F6" s="207" t="s">
        <v>39</v>
      </c>
      <c r="G6" s="207" t="s">
        <v>40</v>
      </c>
      <c r="H6" s="207" t="s">
        <v>41</v>
      </c>
      <c r="I6" s="208" t="s">
        <v>42</v>
      </c>
      <c r="J6" s="109"/>
    </row>
    <row r="7" spans="2:11" s="41" customFormat="1" x14ac:dyDescent="0.25">
      <c r="B7" s="108"/>
      <c r="C7" s="340" t="s">
        <v>199</v>
      </c>
      <c r="D7" s="341">
        <v>0.15</v>
      </c>
      <c r="E7" s="134" t="s">
        <v>200</v>
      </c>
      <c r="F7" s="308"/>
      <c r="G7" s="79">
        <v>0</v>
      </c>
      <c r="H7" s="60">
        <f t="shared" ref="H7:H12" si="0">G7*D7</f>
        <v>0</v>
      </c>
      <c r="I7" s="111"/>
      <c r="J7" s="109"/>
    </row>
    <row r="8" spans="2:11" s="117" customFormat="1" ht="15.6" customHeight="1" x14ac:dyDescent="0.25">
      <c r="B8" s="112"/>
      <c r="C8" s="383" t="s">
        <v>201</v>
      </c>
      <c r="D8" s="51">
        <v>0.05</v>
      </c>
      <c r="E8" s="354" t="s">
        <v>202</v>
      </c>
      <c r="F8" s="157"/>
      <c r="G8" s="79">
        <v>0</v>
      </c>
      <c r="H8" s="51">
        <f t="shared" si="0"/>
        <v>0</v>
      </c>
      <c r="I8" s="81"/>
      <c r="J8" s="116"/>
    </row>
    <row r="9" spans="2:11" s="117" customFormat="1" x14ac:dyDescent="0.25">
      <c r="B9" s="112"/>
      <c r="C9" s="113" t="s">
        <v>203</v>
      </c>
      <c r="D9" s="248">
        <v>0.1</v>
      </c>
      <c r="E9" s="148" t="s">
        <v>204</v>
      </c>
      <c r="F9" s="157"/>
      <c r="G9" s="79">
        <v>0</v>
      </c>
      <c r="H9" s="51">
        <f t="shared" si="0"/>
        <v>0</v>
      </c>
      <c r="I9" s="81"/>
      <c r="J9" s="116"/>
    </row>
    <row r="10" spans="2:11" s="117" customFormat="1" x14ac:dyDescent="0.25">
      <c r="B10" s="112"/>
      <c r="C10" s="113" t="s">
        <v>205</v>
      </c>
      <c r="D10" s="248">
        <v>0.1</v>
      </c>
      <c r="E10" s="148" t="s">
        <v>206</v>
      </c>
      <c r="F10" s="157"/>
      <c r="G10" s="79">
        <v>0</v>
      </c>
      <c r="H10" s="51">
        <f t="shared" ref="H10" si="1">G10*D10</f>
        <v>0</v>
      </c>
      <c r="I10" s="81"/>
      <c r="J10" s="116"/>
    </row>
    <row r="11" spans="2:11" s="117" customFormat="1" ht="15.6" customHeight="1" x14ac:dyDescent="0.25">
      <c r="B11" s="112"/>
      <c r="C11" s="113" t="s">
        <v>207</v>
      </c>
      <c r="D11" s="248">
        <v>0.05</v>
      </c>
      <c r="E11" s="342">
        <v>0.26500000000000001</v>
      </c>
      <c r="F11" s="157"/>
      <c r="G11" s="79">
        <v>0</v>
      </c>
      <c r="H11" s="51">
        <f t="shared" si="0"/>
        <v>0</v>
      </c>
      <c r="I11" s="81"/>
      <c r="J11" s="116"/>
    </row>
    <row r="12" spans="2:11" s="117" customFormat="1" ht="13.8" thickBot="1" x14ac:dyDescent="0.3">
      <c r="B12" s="112"/>
      <c r="C12" s="343" t="s">
        <v>208</v>
      </c>
      <c r="D12" s="248">
        <v>0.05</v>
      </c>
      <c r="E12" s="344" t="s">
        <v>209</v>
      </c>
      <c r="F12" s="335"/>
      <c r="G12" s="79">
        <v>0</v>
      </c>
      <c r="H12" s="53">
        <f t="shared" si="0"/>
        <v>0</v>
      </c>
      <c r="I12" s="81"/>
      <c r="J12" s="116"/>
    </row>
    <row r="13" spans="2:11" s="23" customFormat="1" ht="14.4" thickBot="1" x14ac:dyDescent="0.3">
      <c r="B13" s="21"/>
      <c r="C13" s="345" t="s">
        <v>49</v>
      </c>
      <c r="D13" s="30">
        <f>SUM(D7:D12)</f>
        <v>0.5</v>
      </c>
      <c r="E13" s="779"/>
      <c r="F13" s="779"/>
      <c r="G13" s="779"/>
      <c r="H13" s="82">
        <f>SUM(H7:H12)</f>
        <v>0</v>
      </c>
      <c r="I13" s="28"/>
      <c r="J13" s="22"/>
    </row>
    <row r="14" spans="2:11" s="3" customFormat="1" ht="16.2" thickBot="1" x14ac:dyDescent="0.35">
      <c r="B14" s="15"/>
      <c r="C14" s="784" t="s">
        <v>50</v>
      </c>
      <c r="D14" s="785"/>
      <c r="E14" s="785"/>
      <c r="F14" s="785"/>
      <c r="G14" s="785"/>
      <c r="H14" s="785"/>
      <c r="I14" s="786"/>
      <c r="J14" s="6"/>
    </row>
    <row r="15" spans="2:11" s="41" customFormat="1" ht="28.2" thickBot="1" x14ac:dyDescent="0.3">
      <c r="B15" s="108"/>
      <c r="C15" s="305" t="s">
        <v>36</v>
      </c>
      <c r="D15" s="207" t="s">
        <v>37</v>
      </c>
      <c r="E15" s="207" t="s">
        <v>38</v>
      </c>
      <c r="F15" s="208" t="s">
        <v>39</v>
      </c>
      <c r="G15" s="207" t="s">
        <v>40</v>
      </c>
      <c r="H15" s="207" t="s">
        <v>41</v>
      </c>
      <c r="I15" s="208" t="s">
        <v>42</v>
      </c>
      <c r="J15" s="109"/>
    </row>
    <row r="16" spans="2:11" s="41" customFormat="1" x14ac:dyDescent="0.25">
      <c r="B16" s="123"/>
      <c r="C16" s="125" t="s">
        <v>210</v>
      </c>
      <c r="D16" s="51">
        <v>0.05</v>
      </c>
      <c r="E16" s="134" t="s">
        <v>211</v>
      </c>
      <c r="F16" s="150"/>
      <c r="G16" s="51">
        <v>0</v>
      </c>
      <c r="H16" s="72">
        <f>G16*D16</f>
        <v>0</v>
      </c>
      <c r="I16" s="157"/>
      <c r="J16" s="124"/>
    </row>
    <row r="17" spans="2:11" s="41" customFormat="1" x14ac:dyDescent="0.25">
      <c r="B17" s="123"/>
      <c r="C17" s="125" t="s">
        <v>212</v>
      </c>
      <c r="D17" s="126">
        <v>0.05</v>
      </c>
      <c r="E17" s="353" t="s">
        <v>213</v>
      </c>
      <c r="F17" s="346"/>
      <c r="G17" s="51">
        <v>0</v>
      </c>
      <c r="H17" s="72">
        <f>G17*D17</f>
        <v>0</v>
      </c>
      <c r="I17" s="129"/>
      <c r="J17" s="124"/>
    </row>
    <row r="18" spans="2:11" s="41" customFormat="1" x14ac:dyDescent="0.25">
      <c r="B18" s="123"/>
      <c r="C18" s="125" t="s">
        <v>214</v>
      </c>
      <c r="D18" s="51">
        <v>0.05</v>
      </c>
      <c r="E18" s="148" t="s">
        <v>215</v>
      </c>
      <c r="F18" s="347"/>
      <c r="G18" s="51">
        <v>0</v>
      </c>
      <c r="H18" s="72">
        <f>G18*D18</f>
        <v>0</v>
      </c>
      <c r="I18" s="135"/>
      <c r="J18" s="124"/>
    </row>
    <row r="19" spans="2:11" s="41" customFormat="1" ht="26.4" x14ac:dyDescent="0.25">
      <c r="B19" s="123"/>
      <c r="C19" s="125" t="s">
        <v>216</v>
      </c>
      <c r="D19" s="126">
        <v>0.03</v>
      </c>
      <c r="E19" s="354" t="s">
        <v>217</v>
      </c>
      <c r="F19" s="346"/>
      <c r="G19" s="51">
        <v>0</v>
      </c>
      <c r="H19" s="72">
        <f>G19*D19</f>
        <v>0</v>
      </c>
      <c r="I19" s="129"/>
      <c r="J19" s="124"/>
    </row>
    <row r="20" spans="2:11" s="41" customFormat="1" ht="40.200000000000003" thickBot="1" x14ac:dyDescent="0.3">
      <c r="B20" s="123"/>
      <c r="C20" s="125" t="s">
        <v>218</v>
      </c>
      <c r="D20" s="51">
        <v>0.02</v>
      </c>
      <c r="E20" s="141" t="s">
        <v>219</v>
      </c>
      <c r="F20" s="347"/>
      <c r="G20" s="51">
        <v>0</v>
      </c>
      <c r="H20" s="72">
        <f>G20*D20</f>
        <v>0</v>
      </c>
      <c r="I20" s="135"/>
      <c r="J20" s="124"/>
    </row>
    <row r="21" spans="2:11" s="20" customFormat="1" ht="14.4" thickBot="1" x14ac:dyDescent="0.3">
      <c r="B21" s="18"/>
      <c r="C21" s="122" t="s">
        <v>55</v>
      </c>
      <c r="D21" s="30">
        <f>SUM(D16:D20)</f>
        <v>0.2</v>
      </c>
      <c r="E21" s="779"/>
      <c r="F21" s="779"/>
      <c r="G21" s="779"/>
      <c r="H21" s="62">
        <f>SUM(H16:H20)</f>
        <v>0</v>
      </c>
      <c r="I21" s="28"/>
      <c r="J21" s="19"/>
    </row>
    <row r="22" spans="2:11" s="3" customFormat="1" ht="16.2" thickBot="1" x14ac:dyDescent="0.35">
      <c r="B22" s="15"/>
      <c r="C22" s="784" t="s">
        <v>56</v>
      </c>
      <c r="D22" s="785"/>
      <c r="E22" s="785"/>
      <c r="F22" s="785"/>
      <c r="G22" s="785"/>
      <c r="H22" s="785"/>
      <c r="I22" s="786"/>
      <c r="J22" s="6"/>
    </row>
    <row r="23" spans="2:11" s="41" customFormat="1" ht="28.2" thickBot="1" x14ac:dyDescent="0.3">
      <c r="B23" s="108"/>
      <c r="C23" s="305" t="s">
        <v>36</v>
      </c>
      <c r="D23" s="207" t="s">
        <v>37</v>
      </c>
      <c r="E23" s="207" t="s">
        <v>38</v>
      </c>
      <c r="F23" s="208" t="s">
        <v>39</v>
      </c>
      <c r="G23" s="207" t="s">
        <v>40</v>
      </c>
      <c r="H23" s="207" t="s">
        <v>41</v>
      </c>
      <c r="I23" s="208" t="s">
        <v>42</v>
      </c>
      <c r="J23" s="109"/>
    </row>
    <row r="24" spans="2:11" x14ac:dyDescent="0.25">
      <c r="B24" s="34"/>
      <c r="C24" s="158" t="s">
        <v>220</v>
      </c>
      <c r="D24" s="49">
        <v>0.05</v>
      </c>
      <c r="E24" s="134" t="s">
        <v>221</v>
      </c>
      <c r="F24" s="348"/>
      <c r="G24" s="51">
        <v>0</v>
      </c>
      <c r="H24" s="60">
        <f>G24*D24</f>
        <v>0</v>
      </c>
      <c r="I24" s="83"/>
      <c r="J24" s="35"/>
    </row>
    <row r="25" spans="2:11" ht="26.4" x14ac:dyDescent="0.25">
      <c r="B25" s="34"/>
      <c r="C25" s="125" t="s">
        <v>222</v>
      </c>
      <c r="D25" s="51">
        <v>0.03</v>
      </c>
      <c r="E25" s="148" t="s">
        <v>223</v>
      </c>
      <c r="F25" s="150"/>
      <c r="G25" s="51">
        <v>0</v>
      </c>
      <c r="H25" s="51">
        <f>G25*D25</f>
        <v>0</v>
      </c>
      <c r="I25" s="81"/>
      <c r="J25" s="35"/>
    </row>
    <row r="26" spans="2:11" x14ac:dyDescent="0.25">
      <c r="B26" s="34"/>
      <c r="C26" s="125" t="s">
        <v>224</v>
      </c>
      <c r="D26" s="51">
        <v>0.03</v>
      </c>
      <c r="E26" s="148" t="s">
        <v>225</v>
      </c>
      <c r="F26" s="150"/>
      <c r="G26" s="51">
        <v>0</v>
      </c>
      <c r="H26" s="51">
        <f>G26*D26</f>
        <v>0</v>
      </c>
      <c r="I26" s="81"/>
      <c r="J26" s="35"/>
    </row>
    <row r="27" spans="2:11" x14ac:dyDescent="0.25">
      <c r="B27" s="34"/>
      <c r="C27" s="125" t="s">
        <v>226</v>
      </c>
      <c r="D27" s="51">
        <v>0.04</v>
      </c>
      <c r="E27" s="355" t="s">
        <v>227</v>
      </c>
      <c r="F27" s="150"/>
      <c r="G27" s="51">
        <v>0</v>
      </c>
      <c r="H27" s="51">
        <f>G27*D27</f>
        <v>0</v>
      </c>
      <c r="I27" s="81"/>
      <c r="J27" s="35"/>
    </row>
    <row r="28" spans="2:11" ht="13.8" thickBot="1" x14ac:dyDescent="0.3">
      <c r="B28" s="34"/>
      <c r="C28" s="349" t="s">
        <v>228</v>
      </c>
      <c r="D28" s="265">
        <v>0.05</v>
      </c>
      <c r="E28" s="356" t="s">
        <v>229</v>
      </c>
      <c r="F28" s="350"/>
      <c r="G28" s="51">
        <v>0</v>
      </c>
      <c r="H28" s="53">
        <f>G28*D28</f>
        <v>0</v>
      </c>
      <c r="I28" s="351"/>
      <c r="J28" s="35"/>
      <c r="K28" s="117"/>
    </row>
    <row r="29" spans="2:11" s="20" customFormat="1" ht="14.4" thickBot="1" x14ac:dyDescent="0.3">
      <c r="B29" s="18"/>
      <c r="C29" s="122" t="s">
        <v>63</v>
      </c>
      <c r="D29" s="30">
        <f>SUM(D24:D28)</f>
        <v>0.2</v>
      </c>
      <c r="E29" s="779"/>
      <c r="F29" s="779"/>
      <c r="G29" s="779"/>
      <c r="H29" s="29">
        <f>SUM(H24:H28)</f>
        <v>0</v>
      </c>
      <c r="I29" s="28"/>
      <c r="J29" s="19"/>
    </row>
    <row r="30" spans="2:11" s="3" customFormat="1" ht="16.2" thickBot="1" x14ac:dyDescent="0.35">
      <c r="B30" s="15"/>
      <c r="C30" s="781" t="s">
        <v>64</v>
      </c>
      <c r="D30" s="782"/>
      <c r="E30" s="782"/>
      <c r="F30" s="782"/>
      <c r="G30" s="782"/>
      <c r="H30" s="782"/>
      <c r="I30" s="786"/>
      <c r="J30" s="6"/>
    </row>
    <row r="31" spans="2:11" s="41" customFormat="1" ht="28.2" thickBot="1" x14ac:dyDescent="0.3">
      <c r="B31" s="108"/>
      <c r="C31" s="306" t="s">
        <v>36</v>
      </c>
      <c r="D31" s="207" t="s">
        <v>37</v>
      </c>
      <c r="E31" s="207" t="s">
        <v>38</v>
      </c>
      <c r="F31" s="208" t="s">
        <v>39</v>
      </c>
      <c r="G31" s="207" t="s">
        <v>40</v>
      </c>
      <c r="H31" s="207" t="s">
        <v>41</v>
      </c>
      <c r="I31" s="210" t="s">
        <v>42</v>
      </c>
      <c r="J31" s="109"/>
    </row>
    <row r="32" spans="2:11" s="41" customFormat="1" ht="52.8" x14ac:dyDescent="0.25">
      <c r="B32" s="108"/>
      <c r="C32" s="130" t="s">
        <v>94</v>
      </c>
      <c r="D32" s="51">
        <v>0.04</v>
      </c>
      <c r="E32" s="357" t="s">
        <v>230</v>
      </c>
      <c r="F32" s="150"/>
      <c r="G32" s="51">
        <v>0</v>
      </c>
      <c r="H32" s="60">
        <f>G32*D32</f>
        <v>0</v>
      </c>
      <c r="I32" s="52" t="s">
        <v>231</v>
      </c>
      <c r="J32" s="109"/>
      <c r="K32" s="131"/>
    </row>
    <row r="33" spans="2:11" s="41" customFormat="1" ht="39.6" x14ac:dyDescent="0.25">
      <c r="B33" s="108"/>
      <c r="C33" s="130" t="s">
        <v>68</v>
      </c>
      <c r="D33" s="51">
        <v>0.03</v>
      </c>
      <c r="E33" s="358" t="s">
        <v>853</v>
      </c>
      <c r="F33" s="150"/>
      <c r="G33" s="51">
        <v>0</v>
      </c>
      <c r="H33" s="51">
        <f>G33*D33</f>
        <v>0</v>
      </c>
      <c r="I33" s="52"/>
      <c r="J33" s="109"/>
      <c r="K33" s="131"/>
    </row>
    <row r="34" spans="2:11" s="41" customFormat="1" ht="13.8" thickBot="1" x14ac:dyDescent="0.3">
      <c r="B34" s="108"/>
      <c r="C34" s="130" t="s">
        <v>96</v>
      </c>
      <c r="D34" s="51">
        <v>0.03</v>
      </c>
      <c r="E34" s="359" t="s">
        <v>232</v>
      </c>
      <c r="F34" s="150"/>
      <c r="G34" s="51">
        <v>0</v>
      </c>
      <c r="H34" s="51">
        <f>G34*D34</f>
        <v>0</v>
      </c>
      <c r="I34" s="52" t="s">
        <v>233</v>
      </c>
      <c r="J34" s="109"/>
      <c r="K34" s="131"/>
    </row>
    <row r="35" spans="2:11" s="20" customFormat="1" ht="14.4" thickBot="1" x14ac:dyDescent="0.3">
      <c r="B35" s="18"/>
      <c r="C35" s="122" t="s">
        <v>70</v>
      </c>
      <c r="D35" s="30">
        <f>SUM(D32:D34)</f>
        <v>0.1</v>
      </c>
      <c r="E35" s="778"/>
      <c r="F35" s="779"/>
      <c r="G35" s="780"/>
      <c r="H35" s="62">
        <f>SUM(H32:H34)</f>
        <v>0</v>
      </c>
      <c r="I35" s="40"/>
      <c r="J35" s="19"/>
    </row>
    <row r="36" spans="2:11" s="20" customFormat="1" ht="14.4" thickBot="1" x14ac:dyDescent="0.3">
      <c r="B36" s="18"/>
      <c r="C36" s="132" t="s">
        <v>71</v>
      </c>
      <c r="D36" s="37">
        <f>D35+D29+D21+D13</f>
        <v>1</v>
      </c>
      <c r="E36" s="799"/>
      <c r="F36" s="799"/>
      <c r="G36" s="799"/>
      <c r="H36" s="799"/>
      <c r="I36" s="800"/>
      <c r="J36" s="19"/>
    </row>
    <row r="37" spans="2:11" s="20" customFormat="1" ht="14.4" thickBot="1" x14ac:dyDescent="0.3">
      <c r="B37" s="18"/>
      <c r="C37" s="775" t="s">
        <v>72</v>
      </c>
      <c r="D37" s="776"/>
      <c r="E37" s="776"/>
      <c r="F37" s="777"/>
      <c r="G37" s="787">
        <f>H35+H29+H21+H13</f>
        <v>0</v>
      </c>
      <c r="H37" s="788"/>
      <c r="I37" s="789"/>
      <c r="J37" s="19"/>
    </row>
    <row r="38" spans="2:11" ht="28.2" thickBot="1" x14ac:dyDescent="0.5">
      <c r="B38" s="8"/>
      <c r="C38" s="9"/>
      <c r="D38" s="9"/>
      <c r="E38" s="10"/>
      <c r="F38" s="44"/>
      <c r="G38" s="11"/>
      <c r="H38" s="11"/>
      <c r="I38" s="12"/>
      <c r="J38" s="7"/>
    </row>
    <row r="40" spans="2:11" x14ac:dyDescent="0.25">
      <c r="C40" s="41"/>
      <c r="E40" s="352"/>
    </row>
    <row r="41" spans="2:11" x14ac:dyDescent="0.25">
      <c r="E41" s="352"/>
    </row>
  </sheetData>
  <mergeCells count="14">
    <mergeCell ref="C14:I14"/>
    <mergeCell ref="C3:E3"/>
    <mergeCell ref="F3:I3"/>
    <mergeCell ref="F4:I4"/>
    <mergeCell ref="C5:I5"/>
    <mergeCell ref="E13:G13"/>
    <mergeCell ref="C37:F37"/>
    <mergeCell ref="G37:I37"/>
    <mergeCell ref="E21:G21"/>
    <mergeCell ref="C22:I22"/>
    <mergeCell ref="E29:G29"/>
    <mergeCell ref="C30:I30"/>
    <mergeCell ref="E35:G35"/>
    <mergeCell ref="E36:I36"/>
  </mergeCells>
  <conditionalFormatting sqref="D36">
    <cfRule type="cellIs" dxfId="56" priority="1" stopIfTrue="1" operator="greaterThan">
      <formula>1</formula>
    </cfRule>
    <cfRule type="cellIs" dxfId="55" priority="2" stopIfTrue="1" operator="lessThan">
      <formula>1</formula>
    </cfRule>
  </conditionalFormatting>
  <conditionalFormatting sqref="H13">
    <cfRule type="expression" dxfId="54" priority="3" stopIfTrue="1">
      <formula>"if($H$14/$D$14)&lt;80"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0501-0B56-42D1-9C3A-94B73BBFB303}">
  <sheetPr codeName="Sheet8"/>
  <dimension ref="B1:O32"/>
  <sheetViews>
    <sheetView topLeftCell="B1" zoomScale="70" zoomScaleNormal="70" workbookViewId="0">
      <selection activeCell="E27" sqref="E27"/>
    </sheetView>
  </sheetViews>
  <sheetFormatPr defaultColWidth="8.77734375" defaultRowHeight="13.2" x14ac:dyDescent="0.25"/>
  <cols>
    <col min="1" max="1" width="1.44140625" customWidth="1"/>
    <col min="2" max="2" width="2.21875" customWidth="1"/>
    <col min="3" max="3" width="74" customWidth="1"/>
    <col min="4" max="4" width="14.44140625" customWidth="1"/>
    <col min="5" max="5" width="67.5546875" style="5" customWidth="1"/>
    <col min="6" max="6" width="20.77734375" style="42" customWidth="1"/>
    <col min="7" max="7" width="19.21875" style="5" customWidth="1"/>
    <col min="8" max="8" width="18.5546875" style="5" customWidth="1"/>
    <col min="9" max="9" width="36.21875" style="5" customWidth="1"/>
    <col min="10" max="10" width="2.44140625" customWidth="1"/>
    <col min="11" max="11" width="11.21875" bestFit="1" customWidth="1"/>
    <col min="12" max="12" width="11.44140625" customWidth="1"/>
    <col min="13" max="13" width="11.77734375" customWidth="1"/>
    <col min="15" max="15" width="22.5546875" bestFit="1" customWidth="1"/>
  </cols>
  <sheetData>
    <row r="1" spans="2:14" ht="13.8" thickBot="1" x14ac:dyDescent="0.3"/>
    <row r="2" spans="2:14" s="1" customFormat="1" ht="9.6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4" s="2" customFormat="1" ht="24.6" x14ac:dyDescent="0.4">
      <c r="B3" s="14"/>
      <c r="C3" s="790" t="s">
        <v>234</v>
      </c>
      <c r="D3" s="791"/>
      <c r="E3" s="792"/>
      <c r="F3" s="793" t="s">
        <v>33</v>
      </c>
      <c r="G3" s="794"/>
      <c r="H3" s="794"/>
      <c r="I3" s="795"/>
      <c r="J3" s="26"/>
    </row>
    <row r="4" spans="2:14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4" s="3" customFormat="1" ht="23.4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4" s="41" customFormat="1" ht="28.2" thickBot="1" x14ac:dyDescent="0.3">
      <c r="B6" s="108"/>
      <c r="C6" s="206" t="s">
        <v>36</v>
      </c>
      <c r="D6" s="207" t="s">
        <v>37</v>
      </c>
      <c r="E6" s="207" t="s">
        <v>38</v>
      </c>
      <c r="F6" s="207" t="s">
        <v>39</v>
      </c>
      <c r="G6" s="207" t="s">
        <v>40</v>
      </c>
      <c r="H6" s="207" t="s">
        <v>41</v>
      </c>
      <c r="I6" s="208" t="s">
        <v>42</v>
      </c>
      <c r="J6" s="109"/>
    </row>
    <row r="7" spans="2:14" s="41" customFormat="1" x14ac:dyDescent="0.25">
      <c r="B7" s="108"/>
      <c r="C7" s="59" t="s">
        <v>43</v>
      </c>
      <c r="D7" s="51">
        <v>0.05</v>
      </c>
      <c r="E7" s="58" t="s">
        <v>44</v>
      </c>
      <c r="F7" s="71"/>
      <c r="G7" s="79">
        <v>0</v>
      </c>
      <c r="H7" s="60">
        <f>G7*D7</f>
        <v>0</v>
      </c>
      <c r="I7" s="84" t="s">
        <v>45</v>
      </c>
      <c r="J7" s="109"/>
    </row>
    <row r="8" spans="2:14" s="117" customFormat="1" ht="26.4" x14ac:dyDescent="0.25">
      <c r="B8" s="112"/>
      <c r="C8" s="50" t="s">
        <v>235</v>
      </c>
      <c r="D8" s="51">
        <v>0.05</v>
      </c>
      <c r="E8" s="160">
        <v>0.111</v>
      </c>
      <c r="F8" s="46"/>
      <c r="G8" s="79">
        <v>0</v>
      </c>
      <c r="H8" s="51">
        <f t="shared" ref="H8:H9" si="0">G8*D8</f>
        <v>0</v>
      </c>
      <c r="I8" s="81"/>
      <c r="J8" s="116"/>
      <c r="L8" s="136"/>
      <c r="N8" s="137"/>
    </row>
    <row r="9" spans="2:14" s="41" customFormat="1" ht="26.4" x14ac:dyDescent="0.25">
      <c r="B9" s="123"/>
      <c r="C9" s="50" t="s">
        <v>236</v>
      </c>
      <c r="D9" s="51">
        <v>0.15</v>
      </c>
      <c r="E9" s="85" t="s">
        <v>237</v>
      </c>
      <c r="F9" s="55"/>
      <c r="G9" s="51">
        <v>0</v>
      </c>
      <c r="H9" s="51">
        <f t="shared" si="0"/>
        <v>0</v>
      </c>
      <c r="I9" s="157"/>
      <c r="J9" s="124"/>
      <c r="M9" s="318"/>
    </row>
    <row r="10" spans="2:14" s="41" customFormat="1" ht="14.4" thickBot="1" x14ac:dyDescent="0.3">
      <c r="B10" s="123"/>
      <c r="C10" s="319" t="s">
        <v>238</v>
      </c>
      <c r="D10" s="51">
        <v>0.05</v>
      </c>
      <c r="E10" s="153" t="s">
        <v>239</v>
      </c>
      <c r="F10" s="76"/>
      <c r="G10" s="51">
        <v>0</v>
      </c>
      <c r="H10" s="53">
        <v>0</v>
      </c>
      <c r="I10" s="129"/>
      <c r="J10" s="124"/>
      <c r="L10" s="70"/>
      <c r="M10" s="70"/>
    </row>
    <row r="11" spans="2:14" s="23" customFormat="1" ht="14.4" thickBot="1" x14ac:dyDescent="0.3">
      <c r="B11" s="21"/>
      <c r="C11" s="27" t="s">
        <v>49</v>
      </c>
      <c r="D11" s="30">
        <f>SUM(D7:D10)</f>
        <v>0.3</v>
      </c>
      <c r="E11" s="779"/>
      <c r="F11" s="779"/>
      <c r="G11" s="779"/>
      <c r="H11" s="82">
        <f>SUM(H7:H9)</f>
        <v>0</v>
      </c>
      <c r="I11" s="28"/>
      <c r="J11" s="22"/>
      <c r="L11" s="70"/>
      <c r="M11" s="61"/>
    </row>
    <row r="12" spans="2:14" s="3" customFormat="1" ht="16.2" thickBot="1" x14ac:dyDescent="0.35">
      <c r="B12" s="15"/>
      <c r="C12" s="784" t="s">
        <v>50</v>
      </c>
      <c r="D12" s="785"/>
      <c r="E12" s="785"/>
      <c r="F12" s="785"/>
      <c r="G12" s="785"/>
      <c r="H12" s="785"/>
      <c r="I12" s="786"/>
      <c r="J12" s="6"/>
      <c r="L12" s="63"/>
      <c r="M12" s="64"/>
    </row>
    <row r="13" spans="2:14" s="41" customFormat="1" ht="28.2" thickBot="1" x14ac:dyDescent="0.3">
      <c r="B13" s="108"/>
      <c r="C13" s="206" t="s">
        <v>36</v>
      </c>
      <c r="D13" s="207" t="s">
        <v>37</v>
      </c>
      <c r="E13" s="208" t="s">
        <v>38</v>
      </c>
      <c r="F13" s="232" t="s">
        <v>39</v>
      </c>
      <c r="G13" s="232" t="s">
        <v>40</v>
      </c>
      <c r="H13" s="232" t="s">
        <v>41</v>
      </c>
      <c r="I13" s="233" t="s">
        <v>42</v>
      </c>
      <c r="J13" s="109"/>
    </row>
    <row r="14" spans="2:14" s="41" customFormat="1" ht="26.4" x14ac:dyDescent="0.25">
      <c r="B14" s="123"/>
      <c r="C14" s="50" t="s">
        <v>240</v>
      </c>
      <c r="D14" s="320">
        <v>0.2</v>
      </c>
      <c r="E14" s="324" t="s">
        <v>241</v>
      </c>
      <c r="F14" s="327"/>
      <c r="G14" s="60">
        <v>0</v>
      </c>
      <c r="H14" s="60">
        <v>0</v>
      </c>
      <c r="I14" s="147"/>
      <c r="J14" s="124"/>
      <c r="L14" s="70"/>
      <c r="M14" s="70"/>
    </row>
    <row r="15" spans="2:14" s="41" customFormat="1" ht="52.8" x14ac:dyDescent="0.25">
      <c r="B15" s="123"/>
      <c r="C15" s="50" t="s">
        <v>242</v>
      </c>
      <c r="D15" s="39">
        <v>0.05</v>
      </c>
      <c r="E15" s="325" t="s">
        <v>243</v>
      </c>
      <c r="F15" s="255"/>
      <c r="G15" s="51">
        <v>0</v>
      </c>
      <c r="H15" s="51">
        <v>0</v>
      </c>
      <c r="I15" s="78"/>
      <c r="J15" s="124"/>
      <c r="L15" s="70"/>
      <c r="M15" s="70"/>
    </row>
    <row r="16" spans="2:14" s="41" customFormat="1" ht="27" thickBot="1" x14ac:dyDescent="0.3">
      <c r="B16" s="123"/>
      <c r="C16" s="50" t="s">
        <v>244</v>
      </c>
      <c r="D16" s="321">
        <v>0.05</v>
      </c>
      <c r="E16" s="326" t="s">
        <v>245</v>
      </c>
      <c r="F16" s="328"/>
      <c r="G16" s="53">
        <v>0</v>
      </c>
      <c r="H16" s="53">
        <v>0</v>
      </c>
      <c r="I16" s="251"/>
      <c r="J16" s="124"/>
      <c r="L16" s="70"/>
      <c r="M16" s="70"/>
    </row>
    <row r="17" spans="2:15" s="20" customFormat="1" ht="14.4" thickBot="1" x14ac:dyDescent="0.3">
      <c r="B17" s="18"/>
      <c r="C17" s="27" t="s">
        <v>55</v>
      </c>
      <c r="D17" s="30">
        <f>SUM(D14:D16)</f>
        <v>0.3</v>
      </c>
      <c r="E17" s="779"/>
      <c r="F17" s="819"/>
      <c r="G17" s="819"/>
      <c r="H17" s="82">
        <f>SUM(H15:H16)</f>
        <v>0</v>
      </c>
      <c r="I17" s="236"/>
      <c r="J17" s="19"/>
      <c r="L17" s="41"/>
      <c r="M17" s="146"/>
      <c r="N17" s="41"/>
    </row>
    <row r="18" spans="2:15" s="3" customFormat="1" ht="16.2" thickBot="1" x14ac:dyDescent="0.35">
      <c r="B18" s="15"/>
      <c r="C18" s="784" t="s">
        <v>56</v>
      </c>
      <c r="D18" s="785"/>
      <c r="E18" s="785"/>
      <c r="F18" s="785"/>
      <c r="G18" s="785"/>
      <c r="H18" s="785"/>
      <c r="I18" s="786"/>
      <c r="J18" s="6"/>
      <c r="L18" s="41"/>
      <c r="M18" s="41"/>
      <c r="N18" s="41"/>
    </row>
    <row r="19" spans="2:15" s="41" customFormat="1" ht="28.2" thickBot="1" x14ac:dyDescent="0.3">
      <c r="B19" s="108"/>
      <c r="C19" s="206" t="s">
        <v>36</v>
      </c>
      <c r="D19" s="207" t="s">
        <v>37</v>
      </c>
      <c r="E19" s="208" t="s">
        <v>38</v>
      </c>
      <c r="F19" s="232" t="s">
        <v>39</v>
      </c>
      <c r="G19" s="232" t="s">
        <v>40</v>
      </c>
      <c r="H19" s="232" t="s">
        <v>41</v>
      </c>
      <c r="I19" s="233" t="s">
        <v>42</v>
      </c>
      <c r="J19" s="109"/>
      <c r="L19" s="20"/>
      <c r="M19" s="20"/>
      <c r="N19" s="20"/>
    </row>
    <row r="20" spans="2:15" s="41" customFormat="1" ht="184.8" x14ac:dyDescent="0.25">
      <c r="B20" s="123"/>
      <c r="C20" s="322" t="s">
        <v>246</v>
      </c>
      <c r="D20" s="51">
        <v>0.15</v>
      </c>
      <c r="E20" s="312" t="s">
        <v>247</v>
      </c>
      <c r="F20" s="147"/>
      <c r="G20" s="60">
        <v>0</v>
      </c>
      <c r="H20" s="60">
        <f t="shared" ref="H20" si="1">G20*D20</f>
        <v>0</v>
      </c>
      <c r="I20" s="334"/>
      <c r="J20" s="124"/>
    </row>
    <row r="21" spans="2:15" s="41" customFormat="1" ht="26.4" x14ac:dyDescent="0.25">
      <c r="B21" s="123"/>
      <c r="C21" s="323" t="s">
        <v>248</v>
      </c>
      <c r="D21" s="51">
        <v>0.1</v>
      </c>
      <c r="E21" s="329" t="s">
        <v>249</v>
      </c>
      <c r="F21" s="78"/>
      <c r="G21" s="51">
        <v>0</v>
      </c>
      <c r="H21" s="51">
        <v>0</v>
      </c>
      <c r="I21" s="157"/>
      <c r="J21" s="124"/>
      <c r="M21" s="318"/>
    </row>
    <row r="22" spans="2:15" s="41" customFormat="1" ht="53.4" thickBot="1" x14ac:dyDescent="0.3">
      <c r="B22" s="123"/>
      <c r="C22" s="323" t="s">
        <v>250</v>
      </c>
      <c r="D22" s="51">
        <v>0.05</v>
      </c>
      <c r="E22" s="330" t="s">
        <v>251</v>
      </c>
      <c r="F22" s="331" t="s">
        <v>252</v>
      </c>
      <c r="G22" s="53">
        <v>0</v>
      </c>
      <c r="H22" s="53">
        <f>G22*D22</f>
        <v>0</v>
      </c>
      <c r="I22" s="335" t="s">
        <v>253</v>
      </c>
      <c r="J22" s="124"/>
      <c r="L22" s="70"/>
      <c r="M22" s="70"/>
    </row>
    <row r="23" spans="2:15" s="20" customFormat="1" ht="14.4" thickBot="1" x14ac:dyDescent="0.3">
      <c r="B23" s="18"/>
      <c r="C23" s="27" t="s">
        <v>63</v>
      </c>
      <c r="D23" s="30">
        <f>SUM(D20:D22)</f>
        <v>0.3</v>
      </c>
      <c r="E23" s="779"/>
      <c r="F23" s="819"/>
      <c r="G23" s="819"/>
      <c r="H23" s="243">
        <f>SUM(H9:H22)</f>
        <v>0</v>
      </c>
      <c r="I23" s="236"/>
      <c r="J23" s="19"/>
      <c r="O23"/>
    </row>
    <row r="24" spans="2:15" s="3" customFormat="1" ht="16.2" thickBot="1" x14ac:dyDescent="0.35">
      <c r="B24" s="15"/>
      <c r="C24" s="781" t="s">
        <v>64</v>
      </c>
      <c r="D24" s="782"/>
      <c r="E24" s="782"/>
      <c r="F24" s="782"/>
      <c r="G24" s="782"/>
      <c r="H24" s="782"/>
      <c r="I24" s="786"/>
      <c r="J24" s="6"/>
      <c r="O24"/>
    </row>
    <row r="25" spans="2:15" s="41" customFormat="1" ht="28.2" thickBot="1" x14ac:dyDescent="0.3">
      <c r="B25" s="108"/>
      <c r="C25" s="209" t="s">
        <v>36</v>
      </c>
      <c r="D25" s="207" t="s">
        <v>37</v>
      </c>
      <c r="E25" s="208" t="s">
        <v>38</v>
      </c>
      <c r="F25" s="207" t="s">
        <v>39</v>
      </c>
      <c r="G25" s="207" t="s">
        <v>40</v>
      </c>
      <c r="H25" s="207" t="s">
        <v>41</v>
      </c>
      <c r="I25" s="210" t="s">
        <v>42</v>
      </c>
      <c r="J25" s="109"/>
      <c r="L25" s="151"/>
      <c r="O25"/>
    </row>
    <row r="26" spans="2:15" s="41" customFormat="1" ht="26.4" x14ac:dyDescent="0.25">
      <c r="B26" s="108"/>
      <c r="C26" s="56" t="s">
        <v>254</v>
      </c>
      <c r="D26" s="51">
        <v>0.04</v>
      </c>
      <c r="E26" s="286" t="s">
        <v>255</v>
      </c>
      <c r="F26" s="150"/>
      <c r="G26" s="51">
        <v>0</v>
      </c>
      <c r="H26" s="60">
        <f t="shared" ref="H26:H27" si="2">G26*D26</f>
        <v>0</v>
      </c>
      <c r="I26" s="52" t="s">
        <v>256</v>
      </c>
      <c r="J26" s="109"/>
      <c r="K26" s="131"/>
    </row>
    <row r="27" spans="2:15" s="41" customFormat="1" ht="39.6" x14ac:dyDescent="0.25">
      <c r="B27" s="108"/>
      <c r="C27" s="56" t="s">
        <v>257</v>
      </c>
      <c r="D27" s="51">
        <v>0.03</v>
      </c>
      <c r="E27" s="332" t="s">
        <v>864</v>
      </c>
      <c r="F27" s="150"/>
      <c r="G27" s="51">
        <v>0</v>
      </c>
      <c r="H27" s="51">
        <f t="shared" si="2"/>
        <v>0</v>
      </c>
      <c r="I27" s="52"/>
      <c r="J27" s="109"/>
      <c r="K27" s="131"/>
    </row>
    <row r="28" spans="2:15" s="41" customFormat="1" ht="27" thickBot="1" x14ac:dyDescent="0.3">
      <c r="B28" s="108"/>
      <c r="C28" s="56" t="s">
        <v>258</v>
      </c>
      <c r="D28" s="51">
        <v>0.03</v>
      </c>
      <c r="E28" s="333" t="s">
        <v>259</v>
      </c>
      <c r="F28" s="150"/>
      <c r="G28" s="51">
        <v>0</v>
      </c>
      <c r="H28" s="51">
        <v>0</v>
      </c>
      <c r="I28" s="52" t="s">
        <v>260</v>
      </c>
      <c r="J28" s="109"/>
      <c r="K28" s="131"/>
    </row>
    <row r="29" spans="2:15" s="20" customFormat="1" ht="14.4" thickBot="1" x14ac:dyDescent="0.3">
      <c r="B29" s="18"/>
      <c r="C29" s="27" t="s">
        <v>70</v>
      </c>
      <c r="D29" s="30">
        <f>SUM(D26:D28)</f>
        <v>0.1</v>
      </c>
      <c r="E29" s="778"/>
      <c r="F29" s="779"/>
      <c r="G29" s="780"/>
      <c r="H29" s="62">
        <f>SUM(H26:H28)</f>
        <v>0</v>
      </c>
      <c r="I29" s="40"/>
      <c r="J29" s="19"/>
      <c r="L29" s="67"/>
      <c r="M29" s="65"/>
    </row>
    <row r="30" spans="2:15" s="20" customFormat="1" ht="14.4" thickBot="1" x14ac:dyDescent="0.3">
      <c r="B30" s="18"/>
      <c r="C30" s="36" t="s">
        <v>71</v>
      </c>
      <c r="D30" s="37">
        <f>D29+D23+D17+D11</f>
        <v>1</v>
      </c>
      <c r="E30" s="799"/>
      <c r="F30" s="799"/>
      <c r="G30" s="799"/>
      <c r="H30" s="799"/>
      <c r="I30" s="800"/>
      <c r="J30" s="19"/>
      <c r="L30" s="69"/>
      <c r="M30" s="66"/>
    </row>
    <row r="31" spans="2:15" s="20" customFormat="1" ht="14.4" thickBot="1" x14ac:dyDescent="0.3">
      <c r="B31" s="18"/>
      <c r="C31" s="775" t="s">
        <v>72</v>
      </c>
      <c r="D31" s="776"/>
      <c r="E31" s="776"/>
      <c r="F31" s="777"/>
      <c r="G31" s="787">
        <f>H29+H23+H17+H11</f>
        <v>0</v>
      </c>
      <c r="H31" s="788"/>
      <c r="I31" s="789"/>
      <c r="J31" s="19"/>
      <c r="M31" s="67"/>
    </row>
    <row r="32" spans="2:15" ht="28.2" thickBot="1" x14ac:dyDescent="0.5">
      <c r="B32" s="8"/>
      <c r="C32" s="9"/>
      <c r="D32" s="9"/>
      <c r="E32" s="10"/>
      <c r="F32" s="44"/>
      <c r="G32" s="11"/>
      <c r="H32" s="11"/>
      <c r="I32" s="12"/>
      <c r="J32" s="7"/>
      <c r="M32" s="68"/>
    </row>
  </sheetData>
  <mergeCells count="14">
    <mergeCell ref="C31:F31"/>
    <mergeCell ref="G31:I31"/>
    <mergeCell ref="E17:G17"/>
    <mergeCell ref="C18:I18"/>
    <mergeCell ref="E23:G23"/>
    <mergeCell ref="C24:I24"/>
    <mergeCell ref="E29:G29"/>
    <mergeCell ref="E30:I30"/>
    <mergeCell ref="C12:I12"/>
    <mergeCell ref="C3:E3"/>
    <mergeCell ref="F3:I3"/>
    <mergeCell ref="F4:I4"/>
    <mergeCell ref="C5:I5"/>
    <mergeCell ref="E11:G11"/>
  </mergeCells>
  <conditionalFormatting sqref="D30">
    <cfRule type="cellIs" dxfId="53" priority="1" stopIfTrue="1" operator="greaterThan">
      <formula>1</formula>
    </cfRule>
    <cfRule type="cellIs" dxfId="52" priority="2" stopIfTrue="1" operator="lessThan">
      <formula>1</formula>
    </cfRule>
  </conditionalFormatting>
  <conditionalFormatting sqref="H11">
    <cfRule type="expression" dxfId="51" priority="3" stopIfTrue="1">
      <formula>"if($H$14/$D$14)&lt;80"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532D-BC7F-4069-8C44-70A2697F99DF}">
  <sheetPr codeName="Sheet9"/>
  <dimension ref="B1:K34"/>
  <sheetViews>
    <sheetView zoomScale="80" zoomScaleNormal="80" workbookViewId="0">
      <selection activeCell="C33" sqref="C33:F33"/>
    </sheetView>
  </sheetViews>
  <sheetFormatPr defaultColWidth="8.77734375" defaultRowHeight="13.2" x14ac:dyDescent="0.25"/>
  <cols>
    <col min="1" max="2" width="1.5546875" customWidth="1"/>
    <col min="3" max="3" width="73.21875" customWidth="1"/>
    <col min="4" max="4" width="14.44140625" customWidth="1"/>
    <col min="5" max="5" width="67.77734375" style="5" customWidth="1"/>
    <col min="6" max="6" width="20.77734375" style="42" customWidth="1"/>
    <col min="7" max="7" width="19.5546875" style="5" customWidth="1"/>
    <col min="8" max="8" width="19.21875" style="5" customWidth="1"/>
    <col min="9" max="9" width="34" style="5" customWidth="1"/>
    <col min="10" max="10" width="2.5546875" customWidth="1"/>
    <col min="11" max="11" width="11.21875" bestFit="1" customWidth="1"/>
  </cols>
  <sheetData>
    <row r="1" spans="2:11" ht="13.8" thickBot="1" x14ac:dyDescent="0.3"/>
    <row r="2" spans="2:11" s="1" customFormat="1" ht="10.8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1" s="2" customFormat="1" ht="24.6" x14ac:dyDescent="0.4">
      <c r="B3" s="14"/>
      <c r="C3" s="790" t="s">
        <v>261</v>
      </c>
      <c r="D3" s="791"/>
      <c r="E3" s="792"/>
      <c r="F3" s="793" t="s">
        <v>33</v>
      </c>
      <c r="G3" s="794"/>
      <c r="H3" s="794"/>
      <c r="I3" s="795"/>
      <c r="J3" s="26"/>
    </row>
    <row r="4" spans="2:11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1" s="3" customFormat="1" ht="23.4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1" s="41" customFormat="1" ht="28.2" thickBot="1" x14ac:dyDescent="0.3">
      <c r="B6" s="108"/>
      <c r="C6" s="305" t="s">
        <v>36</v>
      </c>
      <c r="D6" s="207" t="s">
        <v>37</v>
      </c>
      <c r="E6" s="207" t="s">
        <v>38</v>
      </c>
      <c r="F6" s="207" t="s">
        <v>39</v>
      </c>
      <c r="G6" s="207" t="s">
        <v>40</v>
      </c>
      <c r="H6" s="207" t="s">
        <v>41</v>
      </c>
      <c r="I6" s="208" t="s">
        <v>42</v>
      </c>
      <c r="J6" s="109"/>
    </row>
    <row r="7" spans="2:11" s="41" customFormat="1" x14ac:dyDescent="0.25">
      <c r="B7" s="108"/>
      <c r="C7" s="110" t="s">
        <v>124</v>
      </c>
      <c r="D7" s="39">
        <v>0.1</v>
      </c>
      <c r="E7" s="481" t="s">
        <v>75</v>
      </c>
      <c r="F7" s="71"/>
      <c r="G7" s="79">
        <v>0</v>
      </c>
      <c r="H7" s="60">
        <f>G7*D7</f>
        <v>0</v>
      </c>
      <c r="I7" s="111"/>
      <c r="J7" s="109"/>
    </row>
    <row r="8" spans="2:11" s="117" customFormat="1" x14ac:dyDescent="0.25">
      <c r="B8" s="112"/>
      <c r="C8" s="113" t="s">
        <v>127</v>
      </c>
      <c r="D8" s="51">
        <v>0.1</v>
      </c>
      <c r="E8" s="329" t="s">
        <v>262</v>
      </c>
      <c r="F8" s="115"/>
      <c r="G8" s="79">
        <v>0</v>
      </c>
      <c r="H8" s="51">
        <f t="shared" ref="H8:H10" si="0">G8*D8</f>
        <v>0</v>
      </c>
      <c r="I8" s="81" t="s">
        <v>263</v>
      </c>
      <c r="J8" s="116"/>
    </row>
    <row r="9" spans="2:11" s="117" customFormat="1" ht="26.4" x14ac:dyDescent="0.25">
      <c r="B9" s="112"/>
      <c r="C9" s="154" t="s">
        <v>264</v>
      </c>
      <c r="D9" s="51">
        <v>0.05</v>
      </c>
      <c r="E9" s="156" t="s">
        <v>265</v>
      </c>
      <c r="F9" s="115"/>
      <c r="G9" s="79">
        <v>0</v>
      </c>
      <c r="H9" s="51">
        <f t="shared" si="0"/>
        <v>0</v>
      </c>
      <c r="I9" s="81"/>
      <c r="J9" s="116"/>
    </row>
    <row r="10" spans="2:11" s="117" customFormat="1" ht="13.8" thickBot="1" x14ac:dyDescent="0.3">
      <c r="B10" s="112"/>
      <c r="C10" s="113" t="s">
        <v>130</v>
      </c>
      <c r="D10" s="51">
        <v>0.05</v>
      </c>
      <c r="E10" s="329" t="s">
        <v>266</v>
      </c>
      <c r="F10" s="46"/>
      <c r="G10" s="79">
        <v>0</v>
      </c>
      <c r="H10" s="53">
        <f t="shared" si="0"/>
        <v>0</v>
      </c>
      <c r="I10" s="81" t="s">
        <v>267</v>
      </c>
      <c r="J10" s="116"/>
    </row>
    <row r="11" spans="2:11" s="23" customFormat="1" ht="14.4" thickBot="1" x14ac:dyDescent="0.3">
      <c r="B11" s="21"/>
      <c r="C11" s="122" t="s">
        <v>49</v>
      </c>
      <c r="D11" s="30">
        <f>SUM(D7:D10)</f>
        <v>0.3</v>
      </c>
      <c r="E11" s="779"/>
      <c r="F11" s="779"/>
      <c r="G11" s="779"/>
      <c r="H11" s="82">
        <f>SUM(H7:H10)</f>
        <v>0</v>
      </c>
      <c r="I11" s="28"/>
      <c r="J11" s="22"/>
    </row>
    <row r="12" spans="2:11" s="3" customFormat="1" ht="16.2" thickBot="1" x14ac:dyDescent="0.35">
      <c r="B12" s="15"/>
      <c r="C12" s="784" t="s">
        <v>50</v>
      </c>
      <c r="D12" s="785"/>
      <c r="E12" s="785"/>
      <c r="F12" s="785"/>
      <c r="G12" s="785"/>
      <c r="H12" s="785"/>
      <c r="I12" s="786"/>
      <c r="J12" s="6"/>
    </row>
    <row r="13" spans="2:11" s="41" customFormat="1" ht="28.2" thickBot="1" x14ac:dyDescent="0.3">
      <c r="B13" s="108"/>
      <c r="C13" s="305" t="s">
        <v>36</v>
      </c>
      <c r="D13" s="207" t="s">
        <v>37</v>
      </c>
      <c r="E13" s="208" t="s">
        <v>38</v>
      </c>
      <c r="F13" s="207" t="s">
        <v>39</v>
      </c>
      <c r="G13" s="207" t="s">
        <v>40</v>
      </c>
      <c r="H13" s="207" t="s">
        <v>41</v>
      </c>
      <c r="I13" s="208" t="s">
        <v>42</v>
      </c>
      <c r="J13" s="109"/>
    </row>
    <row r="14" spans="2:11" s="41" customFormat="1" x14ac:dyDescent="0.25">
      <c r="B14" s="123"/>
      <c r="C14" s="155" t="s">
        <v>268</v>
      </c>
      <c r="D14" s="49">
        <v>0.1</v>
      </c>
      <c r="E14" s="479" t="s">
        <v>269</v>
      </c>
      <c r="F14" s="76"/>
      <c r="G14" s="51">
        <v>0</v>
      </c>
      <c r="H14" s="72">
        <f t="shared" ref="H14:H16" si="1">G14*D14</f>
        <v>0</v>
      </c>
      <c r="I14" s="73" t="s">
        <v>270</v>
      </c>
      <c r="J14" s="124"/>
    </row>
    <row r="15" spans="2:11" s="41" customFormat="1" x14ac:dyDescent="0.25">
      <c r="B15" s="123"/>
      <c r="C15" s="125" t="s">
        <v>271</v>
      </c>
      <c r="D15" s="51">
        <v>0.1</v>
      </c>
      <c r="E15" s="156" t="s">
        <v>272</v>
      </c>
      <c r="F15" s="55"/>
      <c r="G15" s="51">
        <v>0</v>
      </c>
      <c r="H15" s="72">
        <f t="shared" si="1"/>
        <v>0</v>
      </c>
      <c r="I15" s="157"/>
      <c r="J15" s="124"/>
    </row>
    <row r="16" spans="2:11" s="41" customFormat="1" ht="27" thickBot="1" x14ac:dyDescent="0.3">
      <c r="B16" s="123"/>
      <c r="C16" s="125" t="s">
        <v>273</v>
      </c>
      <c r="D16" s="126">
        <v>0.1</v>
      </c>
      <c r="E16" s="480" t="s">
        <v>274</v>
      </c>
      <c r="F16" s="128"/>
      <c r="G16" s="51">
        <v>0</v>
      </c>
      <c r="H16" s="72">
        <f t="shared" si="1"/>
        <v>0</v>
      </c>
      <c r="I16" s="129" t="s">
        <v>275</v>
      </c>
      <c r="J16" s="124"/>
    </row>
    <row r="17" spans="2:11" s="20" customFormat="1" ht="14.4" thickBot="1" x14ac:dyDescent="0.3">
      <c r="B17" s="18"/>
      <c r="C17" s="122" t="s">
        <v>55</v>
      </c>
      <c r="D17" s="30">
        <f>SUM(D14:D16)</f>
        <v>0.30000000000000004</v>
      </c>
      <c r="E17" s="779"/>
      <c r="F17" s="779"/>
      <c r="G17" s="779"/>
      <c r="H17" s="62">
        <f>SUM(H14:H16)</f>
        <v>0</v>
      </c>
      <c r="I17" s="28"/>
      <c r="J17" s="19"/>
    </row>
    <row r="18" spans="2:11" s="3" customFormat="1" ht="16.2" thickBot="1" x14ac:dyDescent="0.35">
      <c r="B18" s="15"/>
      <c r="C18" s="784" t="s">
        <v>56</v>
      </c>
      <c r="D18" s="785"/>
      <c r="E18" s="785"/>
      <c r="F18" s="785"/>
      <c r="G18" s="785"/>
      <c r="H18" s="785"/>
      <c r="I18" s="786"/>
      <c r="J18" s="6"/>
    </row>
    <row r="19" spans="2:11" s="41" customFormat="1" ht="28.2" thickBot="1" x14ac:dyDescent="0.3">
      <c r="B19" s="108"/>
      <c r="C19" s="305" t="s">
        <v>36</v>
      </c>
      <c r="D19" s="207" t="s">
        <v>37</v>
      </c>
      <c r="E19" s="208" t="s">
        <v>38</v>
      </c>
      <c r="F19" s="207" t="s">
        <v>39</v>
      </c>
      <c r="G19" s="207" t="s">
        <v>40</v>
      </c>
      <c r="H19" s="207" t="s">
        <v>41</v>
      </c>
      <c r="I19" s="208" t="s">
        <v>42</v>
      </c>
      <c r="J19" s="109"/>
    </row>
    <row r="20" spans="2:11" x14ac:dyDescent="0.25">
      <c r="B20" s="34"/>
      <c r="C20" s="158" t="s">
        <v>276</v>
      </c>
      <c r="D20" s="49">
        <v>0.12</v>
      </c>
      <c r="E20" s="478" t="s">
        <v>277</v>
      </c>
      <c r="F20" s="54"/>
      <c r="G20" s="51">
        <v>0</v>
      </c>
      <c r="H20" s="60">
        <f t="shared" ref="H20:H24" si="2">G20*D20</f>
        <v>0</v>
      </c>
      <c r="I20" s="83"/>
      <c r="J20" s="35"/>
    </row>
    <row r="21" spans="2:11" x14ac:dyDescent="0.25">
      <c r="B21" s="34"/>
      <c r="C21" s="125" t="s">
        <v>278</v>
      </c>
      <c r="D21" s="51">
        <v>7.0000000000000007E-2</v>
      </c>
      <c r="E21" s="478" t="s">
        <v>279</v>
      </c>
      <c r="F21" s="55"/>
      <c r="G21" s="51">
        <v>0</v>
      </c>
      <c r="H21" s="51">
        <f t="shared" si="2"/>
        <v>0</v>
      </c>
      <c r="I21" s="81"/>
      <c r="J21" s="35"/>
    </row>
    <row r="22" spans="2:11" x14ac:dyDescent="0.25">
      <c r="B22" s="34"/>
      <c r="C22" s="125" t="s">
        <v>280</v>
      </c>
      <c r="D22" s="51">
        <v>0.03</v>
      </c>
      <c r="E22" s="478">
        <v>88</v>
      </c>
      <c r="F22" s="55"/>
      <c r="G22" s="51">
        <v>0</v>
      </c>
      <c r="H22" s="51">
        <f t="shared" si="2"/>
        <v>0</v>
      </c>
      <c r="I22" s="81" t="s">
        <v>281</v>
      </c>
      <c r="J22" s="35"/>
    </row>
    <row r="23" spans="2:11" x14ac:dyDescent="0.25">
      <c r="B23" s="34"/>
      <c r="C23" s="125" t="s">
        <v>282</v>
      </c>
      <c r="D23" s="51">
        <v>0.03</v>
      </c>
      <c r="E23" s="478">
        <v>73</v>
      </c>
      <c r="F23" s="55"/>
      <c r="G23" s="51">
        <v>0</v>
      </c>
      <c r="H23" s="51">
        <f t="shared" si="2"/>
        <v>0</v>
      </c>
      <c r="I23" s="81" t="s">
        <v>283</v>
      </c>
      <c r="J23" s="35"/>
    </row>
    <row r="24" spans="2:11" ht="13.8" thickBot="1" x14ac:dyDescent="0.3">
      <c r="B24" s="34"/>
      <c r="C24" s="125" t="s">
        <v>284</v>
      </c>
      <c r="D24" s="51">
        <v>0.05</v>
      </c>
      <c r="E24" s="156" t="s">
        <v>285</v>
      </c>
      <c r="F24" s="55"/>
      <c r="G24" s="51">
        <v>0</v>
      </c>
      <c r="H24" s="51">
        <f t="shared" si="2"/>
        <v>0</v>
      </c>
      <c r="I24" s="81"/>
      <c r="J24" s="35"/>
    </row>
    <row r="25" spans="2:11" s="20" customFormat="1" ht="14.4" thickBot="1" x14ac:dyDescent="0.3">
      <c r="B25" s="18"/>
      <c r="C25" s="122" t="s">
        <v>63</v>
      </c>
      <c r="D25" s="30">
        <f>SUM(D20:D24)</f>
        <v>0.3</v>
      </c>
      <c r="E25" s="779"/>
      <c r="F25" s="779"/>
      <c r="G25" s="779"/>
      <c r="H25" s="29">
        <f>SUM(H20:H24)</f>
        <v>0</v>
      </c>
      <c r="I25" s="28"/>
      <c r="J25" s="19"/>
    </row>
    <row r="26" spans="2:11" s="3" customFormat="1" ht="16.2" thickBot="1" x14ac:dyDescent="0.35">
      <c r="B26" s="15"/>
      <c r="C26" s="781" t="s">
        <v>64</v>
      </c>
      <c r="D26" s="782"/>
      <c r="E26" s="782"/>
      <c r="F26" s="782"/>
      <c r="G26" s="782"/>
      <c r="H26" s="782"/>
      <c r="I26" s="786"/>
      <c r="J26" s="6"/>
    </row>
    <row r="27" spans="2:11" s="41" customFormat="1" ht="28.2" thickBot="1" x14ac:dyDescent="0.3">
      <c r="B27" s="108"/>
      <c r="C27" s="306" t="s">
        <v>36</v>
      </c>
      <c r="D27" s="207" t="s">
        <v>37</v>
      </c>
      <c r="E27" s="208" t="s">
        <v>38</v>
      </c>
      <c r="F27" s="207" t="s">
        <v>39</v>
      </c>
      <c r="G27" s="207" t="s">
        <v>40</v>
      </c>
      <c r="H27" s="207" t="s">
        <v>41</v>
      </c>
      <c r="I27" s="210" t="s">
        <v>42</v>
      </c>
      <c r="J27" s="109"/>
    </row>
    <row r="28" spans="2:11" s="41" customFormat="1" ht="28.8" x14ac:dyDescent="0.25">
      <c r="B28" s="108"/>
      <c r="C28" s="130" t="s">
        <v>94</v>
      </c>
      <c r="D28" s="51">
        <v>0.04</v>
      </c>
      <c r="E28" s="482" t="s">
        <v>286</v>
      </c>
      <c r="F28" s="55"/>
      <c r="G28" s="51">
        <v>0</v>
      </c>
      <c r="H28" s="60">
        <f t="shared" ref="H28:H30" si="3">G28*D28</f>
        <v>0</v>
      </c>
      <c r="I28" s="52" t="s">
        <v>287</v>
      </c>
      <c r="J28" s="109"/>
      <c r="K28" s="131"/>
    </row>
    <row r="29" spans="2:11" s="41" customFormat="1" ht="39.6" x14ac:dyDescent="0.25">
      <c r="B29" s="108"/>
      <c r="C29" s="130" t="s">
        <v>68</v>
      </c>
      <c r="D29" s="51">
        <v>0.03</v>
      </c>
      <c r="E29" s="355" t="s">
        <v>288</v>
      </c>
      <c r="F29" s="55"/>
      <c r="G29" s="51">
        <v>0</v>
      </c>
      <c r="H29" s="51">
        <f t="shared" si="3"/>
        <v>0</v>
      </c>
      <c r="I29" s="52"/>
      <c r="J29" s="109"/>
      <c r="K29" s="131"/>
    </row>
    <row r="30" spans="2:11" s="41" customFormat="1" ht="15" thickBot="1" x14ac:dyDescent="0.3">
      <c r="B30" s="108"/>
      <c r="C30" s="130" t="s">
        <v>96</v>
      </c>
      <c r="D30" s="51">
        <v>0.03</v>
      </c>
      <c r="E30" s="483" t="s">
        <v>289</v>
      </c>
      <c r="F30" s="55"/>
      <c r="G30" s="51">
        <v>0</v>
      </c>
      <c r="H30" s="51">
        <f t="shared" si="3"/>
        <v>0</v>
      </c>
      <c r="I30" s="81" t="s">
        <v>290</v>
      </c>
      <c r="J30" s="109"/>
      <c r="K30" s="131"/>
    </row>
    <row r="31" spans="2:11" s="20" customFormat="1" ht="14.4" thickBot="1" x14ac:dyDescent="0.3">
      <c r="B31" s="18"/>
      <c r="C31" s="122" t="s">
        <v>70</v>
      </c>
      <c r="D31" s="30">
        <f>SUM(D28:D30)</f>
        <v>0.1</v>
      </c>
      <c r="E31" s="778"/>
      <c r="F31" s="779"/>
      <c r="G31" s="780"/>
      <c r="H31" s="62">
        <f>SUM(H28:H30)</f>
        <v>0</v>
      </c>
      <c r="I31" s="40"/>
      <c r="J31" s="19"/>
    </row>
    <row r="32" spans="2:11" s="20" customFormat="1" ht="14.4" thickBot="1" x14ac:dyDescent="0.3">
      <c r="B32" s="18"/>
      <c r="C32" s="132" t="s">
        <v>71</v>
      </c>
      <c r="D32" s="37">
        <f>D31+D25+D17+D11</f>
        <v>1</v>
      </c>
      <c r="E32" s="799"/>
      <c r="F32" s="799"/>
      <c r="G32" s="799"/>
      <c r="H32" s="799"/>
      <c r="I32" s="800"/>
      <c r="J32" s="19"/>
    </row>
    <row r="33" spans="2:10" s="20" customFormat="1" ht="14.4" thickBot="1" x14ac:dyDescent="0.3">
      <c r="B33" s="18"/>
      <c r="C33" s="775" t="s">
        <v>72</v>
      </c>
      <c r="D33" s="776"/>
      <c r="E33" s="776"/>
      <c r="F33" s="777"/>
      <c r="G33" s="787">
        <f>H31+H25+H17+H11</f>
        <v>0</v>
      </c>
      <c r="H33" s="788"/>
      <c r="I33" s="789"/>
      <c r="J33" s="19"/>
    </row>
    <row r="34" spans="2:10" ht="10.35" customHeight="1" thickBot="1" x14ac:dyDescent="0.5">
      <c r="B34" s="8"/>
      <c r="C34" s="9"/>
      <c r="D34" s="9"/>
      <c r="E34" s="10"/>
      <c r="F34" s="44"/>
      <c r="G34" s="11"/>
      <c r="H34" s="11"/>
      <c r="I34" s="12"/>
      <c r="J34" s="7"/>
    </row>
  </sheetData>
  <mergeCells count="14">
    <mergeCell ref="C12:I12"/>
    <mergeCell ref="C3:E3"/>
    <mergeCell ref="F3:I3"/>
    <mergeCell ref="F4:I4"/>
    <mergeCell ref="C5:I5"/>
    <mergeCell ref="E11:G11"/>
    <mergeCell ref="C33:F33"/>
    <mergeCell ref="G33:I33"/>
    <mergeCell ref="E17:G17"/>
    <mergeCell ref="C18:I18"/>
    <mergeCell ref="E25:G25"/>
    <mergeCell ref="C26:I26"/>
    <mergeCell ref="E31:G31"/>
    <mergeCell ref="E32:I32"/>
  </mergeCells>
  <conditionalFormatting sqref="D32">
    <cfRule type="cellIs" dxfId="50" priority="1" stopIfTrue="1" operator="greaterThan">
      <formula>1</formula>
    </cfRule>
    <cfRule type="cellIs" dxfId="49" priority="2" stopIfTrue="1" operator="lessThan">
      <formula>1</formula>
    </cfRule>
  </conditionalFormatting>
  <conditionalFormatting sqref="H11">
    <cfRule type="expression" dxfId="48" priority="3" stopIfTrue="1">
      <formula>"if($H$14/$D$14)&lt;80"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C2F6-2828-4C6B-BB08-C0EFA4E6CBCE}">
  <sheetPr codeName="Sheet10"/>
  <dimension ref="B1:O44"/>
  <sheetViews>
    <sheetView zoomScale="80" zoomScaleNormal="80" workbookViewId="0">
      <selection activeCell="F40" sqref="F40"/>
    </sheetView>
  </sheetViews>
  <sheetFormatPr defaultColWidth="8.77734375" defaultRowHeight="13.2" x14ac:dyDescent="0.25"/>
  <cols>
    <col min="1" max="1" width="1.5546875" customWidth="1"/>
    <col min="2" max="2" width="2.77734375" customWidth="1"/>
    <col min="3" max="3" width="73.21875" customWidth="1"/>
    <col min="4" max="4" width="14.21875" customWidth="1"/>
    <col min="5" max="5" width="66.44140625" style="5" customWidth="1"/>
    <col min="6" max="6" width="17.77734375" style="42" customWidth="1"/>
    <col min="7" max="7" width="19" style="5" customWidth="1"/>
    <col min="8" max="8" width="18.44140625" style="5" customWidth="1"/>
    <col min="9" max="9" width="42.77734375" style="5" customWidth="1"/>
    <col min="10" max="10" width="2.5546875" customWidth="1"/>
    <col min="11" max="11" width="11.21875" bestFit="1" customWidth="1"/>
    <col min="12" max="12" width="11.21875" customWidth="1"/>
    <col min="13" max="13" width="11.77734375" customWidth="1"/>
    <col min="15" max="15" width="22.77734375" bestFit="1" customWidth="1"/>
  </cols>
  <sheetData>
    <row r="1" spans="2:15" ht="8.25" customHeight="1" thickBot="1" x14ac:dyDescent="0.3"/>
    <row r="2" spans="2:15" s="1" customFormat="1" ht="12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5" s="2" customFormat="1" ht="26.1" customHeight="1" x14ac:dyDescent="0.4">
      <c r="B3" s="14"/>
      <c r="C3" s="790" t="s">
        <v>291</v>
      </c>
      <c r="D3" s="791"/>
      <c r="E3" s="792"/>
      <c r="F3" s="793" t="s">
        <v>33</v>
      </c>
      <c r="G3" s="794"/>
      <c r="H3" s="794"/>
      <c r="I3" s="795"/>
      <c r="J3" s="26"/>
    </row>
    <row r="4" spans="2:15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5" s="3" customFormat="1" ht="20.25" customHeight="1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5" s="41" customFormat="1" ht="29.85" customHeight="1" thickBot="1" x14ac:dyDescent="0.3">
      <c r="B6" s="108"/>
      <c r="C6" s="231" t="s">
        <v>36</v>
      </c>
      <c r="D6" s="232" t="s">
        <v>37</v>
      </c>
      <c r="E6" s="232" t="s">
        <v>38</v>
      </c>
      <c r="F6" s="232" t="s">
        <v>39</v>
      </c>
      <c r="G6" s="232" t="s">
        <v>40</v>
      </c>
      <c r="H6" s="232" t="s">
        <v>41</v>
      </c>
      <c r="I6" s="233" t="s">
        <v>42</v>
      </c>
      <c r="J6" s="109"/>
    </row>
    <row r="7" spans="2:15" s="41" customFormat="1" x14ac:dyDescent="0.25">
      <c r="B7" s="108"/>
      <c r="C7" s="237" t="s">
        <v>292</v>
      </c>
      <c r="D7" s="60">
        <v>7.4999999999999997E-2</v>
      </c>
      <c r="E7" s="134" t="s">
        <v>75</v>
      </c>
      <c r="F7" s="147"/>
      <c r="G7" s="60">
        <v>0</v>
      </c>
      <c r="H7" s="60">
        <f>G7*D7</f>
        <v>0</v>
      </c>
      <c r="I7" s="290" t="s">
        <v>45</v>
      </c>
      <c r="J7" s="109"/>
    </row>
    <row r="8" spans="2:15" s="117" customFormat="1" ht="26.4" x14ac:dyDescent="0.25">
      <c r="B8" s="112"/>
      <c r="C8" s="75" t="s">
        <v>80</v>
      </c>
      <c r="D8" s="51">
        <v>7.4999999999999997E-2</v>
      </c>
      <c r="E8" s="287">
        <v>0.111</v>
      </c>
      <c r="F8" s="78"/>
      <c r="G8" s="51">
        <v>0</v>
      </c>
      <c r="H8" s="51">
        <f t="shared" ref="H8:H9" si="0">G8*D8</f>
        <v>0</v>
      </c>
      <c r="I8" s="105"/>
      <c r="J8" s="116"/>
      <c r="K8" s="41"/>
      <c r="L8" s="136"/>
      <c r="N8" s="137"/>
    </row>
    <row r="9" spans="2:15" s="117" customFormat="1" ht="26.4" x14ac:dyDescent="0.25">
      <c r="B9" s="112"/>
      <c r="C9" s="75" t="s">
        <v>293</v>
      </c>
      <c r="D9" s="51">
        <v>0.1</v>
      </c>
      <c r="E9" s="288" t="s">
        <v>294</v>
      </c>
      <c r="F9" s="78"/>
      <c r="G9" s="51">
        <v>0</v>
      </c>
      <c r="H9" s="51">
        <f t="shared" si="0"/>
        <v>0</v>
      </c>
      <c r="I9" s="105"/>
      <c r="J9" s="116"/>
      <c r="K9" s="41"/>
      <c r="L9" s="142"/>
      <c r="M9" s="142"/>
      <c r="N9" s="143"/>
      <c r="O9" s="144"/>
    </row>
    <row r="10" spans="2:15" s="117" customFormat="1" ht="21.6" customHeight="1" thickBot="1" x14ac:dyDescent="0.3">
      <c r="B10" s="112"/>
      <c r="C10" s="106" t="s">
        <v>295</v>
      </c>
      <c r="D10" s="53">
        <v>0.05</v>
      </c>
      <c r="E10" s="289" t="s">
        <v>296</v>
      </c>
      <c r="F10" s="251"/>
      <c r="G10" s="53">
        <v>0</v>
      </c>
      <c r="H10" s="53">
        <f>G10*D10</f>
        <v>0</v>
      </c>
      <c r="I10" s="291" t="s">
        <v>297</v>
      </c>
      <c r="J10" s="116"/>
      <c r="K10" s="41"/>
      <c r="L10" s="142"/>
      <c r="M10" s="142"/>
      <c r="N10" s="143"/>
      <c r="O10" s="144"/>
    </row>
    <row r="11" spans="2:15" s="23" customFormat="1" ht="15.6" customHeight="1" thickBot="1" x14ac:dyDescent="0.3">
      <c r="B11" s="21"/>
      <c r="C11" s="234" t="s">
        <v>49</v>
      </c>
      <c r="D11" s="235">
        <f>SUM(D7:D10)</f>
        <v>0.3</v>
      </c>
      <c r="E11" s="819"/>
      <c r="F11" s="819"/>
      <c r="G11" s="819"/>
      <c r="H11" s="82">
        <f ca="1">SUM(H7:H24)</f>
        <v>0</v>
      </c>
      <c r="I11" s="236"/>
      <c r="J11" s="22"/>
      <c r="L11" s="70"/>
      <c r="M11" s="61"/>
    </row>
    <row r="12" spans="2:15" s="3" customFormat="1" ht="20.25" customHeight="1" thickBot="1" x14ac:dyDescent="0.35">
      <c r="B12" s="15"/>
      <c r="C12" s="784" t="s">
        <v>50</v>
      </c>
      <c r="D12" s="785"/>
      <c r="E12" s="785"/>
      <c r="F12" s="785"/>
      <c r="G12" s="785"/>
      <c r="H12" s="785"/>
      <c r="I12" s="786"/>
      <c r="J12" s="6"/>
      <c r="L12" s="63"/>
      <c r="M12" s="64"/>
    </row>
    <row r="13" spans="2:15" s="41" customFormat="1" ht="29.85" customHeight="1" thickBot="1" x14ac:dyDescent="0.3">
      <c r="B13" s="108"/>
      <c r="C13" s="231" t="s">
        <v>36</v>
      </c>
      <c r="D13" s="232" t="s">
        <v>37</v>
      </c>
      <c r="E13" s="233" t="s">
        <v>38</v>
      </c>
      <c r="F13" s="232" t="s">
        <v>39</v>
      </c>
      <c r="G13" s="232" t="s">
        <v>40</v>
      </c>
      <c r="H13" s="232" t="s">
        <v>41</v>
      </c>
      <c r="I13" s="233" t="s">
        <v>42</v>
      </c>
      <c r="J13" s="109"/>
    </row>
    <row r="14" spans="2:15" s="117" customFormat="1" ht="26.4" x14ac:dyDescent="0.25">
      <c r="B14" s="112"/>
      <c r="C14" s="238" t="s">
        <v>298</v>
      </c>
      <c r="D14" s="60">
        <v>0.01</v>
      </c>
      <c r="E14" s="134" t="s">
        <v>299</v>
      </c>
      <c r="F14" s="147"/>
      <c r="G14" s="60">
        <v>0</v>
      </c>
      <c r="H14" s="60">
        <f t="shared" ref="H14:H29" si="1">G14*D14</f>
        <v>0</v>
      </c>
      <c r="I14" s="147" t="s">
        <v>300</v>
      </c>
      <c r="J14" s="116"/>
      <c r="K14" s="41"/>
      <c r="L14" s="142"/>
      <c r="M14" s="142"/>
      <c r="N14" s="143"/>
      <c r="O14" s="144"/>
    </row>
    <row r="15" spans="2:15" s="41" customFormat="1" ht="26.4" x14ac:dyDescent="0.25">
      <c r="B15" s="108"/>
      <c r="C15" s="239" t="s">
        <v>301</v>
      </c>
      <c r="D15" s="51">
        <v>0.01</v>
      </c>
      <c r="E15" s="148" t="s">
        <v>302</v>
      </c>
      <c r="F15" s="78"/>
      <c r="G15" s="51">
        <v>0</v>
      </c>
      <c r="H15" s="51">
        <f t="shared" si="1"/>
        <v>0</v>
      </c>
      <c r="I15" s="78" t="s">
        <v>303</v>
      </c>
      <c r="J15" s="109"/>
    </row>
    <row r="16" spans="2:15" s="41" customFormat="1" ht="13.8" x14ac:dyDescent="0.25">
      <c r="B16" s="123"/>
      <c r="C16" s="239" t="s">
        <v>304</v>
      </c>
      <c r="D16" s="51">
        <v>0.01</v>
      </c>
      <c r="E16" s="148" t="s">
        <v>305</v>
      </c>
      <c r="F16" s="78"/>
      <c r="G16" s="51">
        <v>0</v>
      </c>
      <c r="H16" s="51">
        <f t="shared" si="1"/>
        <v>0</v>
      </c>
      <c r="I16" s="78" t="s">
        <v>306</v>
      </c>
      <c r="J16" s="124"/>
      <c r="L16" s="70"/>
      <c r="M16" s="70"/>
    </row>
    <row r="17" spans="2:15" s="41" customFormat="1" ht="26.4" x14ac:dyDescent="0.25">
      <c r="B17" s="123"/>
      <c r="C17" s="240" t="s">
        <v>307</v>
      </c>
      <c r="D17" s="51">
        <v>0.01</v>
      </c>
      <c r="E17" s="148" t="s">
        <v>308</v>
      </c>
      <c r="F17" s="78"/>
      <c r="G17" s="51">
        <v>0</v>
      </c>
      <c r="H17" s="51">
        <f t="shared" si="1"/>
        <v>0</v>
      </c>
      <c r="I17" s="78" t="s">
        <v>309</v>
      </c>
      <c r="J17" s="124"/>
      <c r="L17" s="70"/>
      <c r="M17" s="70"/>
    </row>
    <row r="18" spans="2:15" ht="15.6" x14ac:dyDescent="0.3">
      <c r="B18" s="34"/>
      <c r="C18" s="239" t="s">
        <v>310</v>
      </c>
      <c r="D18" s="51">
        <v>0.01</v>
      </c>
      <c r="E18" s="148" t="s">
        <v>311</v>
      </c>
      <c r="F18" s="78"/>
      <c r="G18" s="51">
        <v>0</v>
      </c>
      <c r="H18" s="51">
        <f t="shared" si="1"/>
        <v>0</v>
      </c>
      <c r="I18" s="78" t="s">
        <v>312</v>
      </c>
      <c r="J18" s="35"/>
      <c r="L18" s="3"/>
      <c r="M18" s="3"/>
      <c r="N18" s="3"/>
    </row>
    <row r="19" spans="2:15" ht="15.6" x14ac:dyDescent="0.3">
      <c r="B19" s="34"/>
      <c r="C19" s="240" t="s">
        <v>313</v>
      </c>
      <c r="D19" s="51">
        <v>0.01</v>
      </c>
      <c r="E19" s="148" t="s">
        <v>314</v>
      </c>
      <c r="F19" s="78"/>
      <c r="G19" s="51">
        <v>0</v>
      </c>
      <c r="H19" s="51">
        <f t="shared" si="1"/>
        <v>0</v>
      </c>
      <c r="I19" s="78" t="s">
        <v>312</v>
      </c>
      <c r="J19" s="35"/>
      <c r="L19" s="3"/>
      <c r="M19" s="3"/>
      <c r="N19" s="3"/>
    </row>
    <row r="20" spans="2:15" ht="15.6" x14ac:dyDescent="0.3">
      <c r="B20" s="34"/>
      <c r="C20" s="240" t="s">
        <v>315</v>
      </c>
      <c r="D20" s="51">
        <v>0.01</v>
      </c>
      <c r="E20" s="148" t="s">
        <v>316</v>
      </c>
      <c r="F20" s="78"/>
      <c r="G20" s="51">
        <v>0</v>
      </c>
      <c r="H20" s="51">
        <f t="shared" si="1"/>
        <v>0</v>
      </c>
      <c r="I20" s="78" t="s">
        <v>312</v>
      </c>
      <c r="J20" s="35"/>
      <c r="L20" s="3"/>
      <c r="M20" s="3"/>
      <c r="N20" s="3"/>
    </row>
    <row r="21" spans="2:15" s="41" customFormat="1" x14ac:dyDescent="0.25">
      <c r="B21" s="108"/>
      <c r="C21" s="241" t="s">
        <v>317</v>
      </c>
      <c r="D21" s="51">
        <v>0.01</v>
      </c>
      <c r="E21" s="148" t="s">
        <v>318</v>
      </c>
      <c r="F21" s="78"/>
      <c r="G21" s="51">
        <v>0</v>
      </c>
      <c r="H21" s="51">
        <f t="shared" si="1"/>
        <v>0</v>
      </c>
      <c r="I21" s="78" t="s">
        <v>319</v>
      </c>
      <c r="J21" s="109"/>
      <c r="K21" s="131"/>
      <c r="M21" s="151"/>
      <c r="N21" s="151"/>
      <c r="O21" s="146"/>
    </row>
    <row r="22" spans="2:15" s="41" customFormat="1" x14ac:dyDescent="0.25">
      <c r="B22" s="108"/>
      <c r="C22" s="241" t="s">
        <v>320</v>
      </c>
      <c r="D22" s="51">
        <v>0.01</v>
      </c>
      <c r="E22" s="148" t="s">
        <v>321</v>
      </c>
      <c r="F22" s="78"/>
      <c r="G22" s="51">
        <v>0</v>
      </c>
      <c r="H22" s="51">
        <f t="shared" si="1"/>
        <v>0</v>
      </c>
      <c r="I22" s="78" t="s">
        <v>319</v>
      </c>
      <c r="J22" s="109"/>
      <c r="K22" s="131"/>
      <c r="M22" s="151"/>
      <c r="N22" s="151"/>
      <c r="O22" s="146"/>
    </row>
    <row r="23" spans="2:15" s="41" customFormat="1" x14ac:dyDescent="0.25">
      <c r="B23" s="108"/>
      <c r="C23" s="241" t="s">
        <v>322</v>
      </c>
      <c r="D23" s="51">
        <v>0.01</v>
      </c>
      <c r="E23" s="148" t="s">
        <v>323</v>
      </c>
      <c r="F23" s="78"/>
      <c r="G23" s="51">
        <v>0</v>
      </c>
      <c r="H23" s="51">
        <f t="shared" si="1"/>
        <v>0</v>
      </c>
      <c r="I23" s="78" t="s">
        <v>319</v>
      </c>
      <c r="J23" s="109"/>
      <c r="K23" s="131"/>
      <c r="M23" s="151"/>
      <c r="N23" s="151"/>
      <c r="O23" s="146"/>
    </row>
    <row r="24" spans="2:15" s="117" customFormat="1" x14ac:dyDescent="0.25">
      <c r="B24" s="112"/>
      <c r="C24" s="75" t="s">
        <v>51</v>
      </c>
      <c r="D24" s="51">
        <v>0.15</v>
      </c>
      <c r="E24" s="148" t="s">
        <v>52</v>
      </c>
      <c r="F24" s="78"/>
      <c r="G24" s="51">
        <v>0</v>
      </c>
      <c r="H24" s="51">
        <f t="shared" si="1"/>
        <v>0</v>
      </c>
      <c r="I24" s="78" t="s">
        <v>324</v>
      </c>
      <c r="J24" s="116"/>
      <c r="L24" s="142"/>
      <c r="M24" s="142"/>
      <c r="N24" s="143"/>
      <c r="O24" s="144"/>
    </row>
    <row r="25" spans="2:15" s="41" customFormat="1" ht="26.4" x14ac:dyDescent="0.25">
      <c r="B25" s="108"/>
      <c r="C25" s="241" t="s">
        <v>325</v>
      </c>
      <c r="D25" s="51">
        <v>0.08</v>
      </c>
      <c r="E25" s="245" t="s">
        <v>106</v>
      </c>
      <c r="F25" s="78"/>
      <c r="G25" s="51">
        <v>0</v>
      </c>
      <c r="H25" s="51">
        <f t="shared" si="1"/>
        <v>0</v>
      </c>
      <c r="I25" s="78" t="s">
        <v>326</v>
      </c>
      <c r="J25" s="109"/>
      <c r="K25" s="131"/>
      <c r="M25" s="151"/>
      <c r="N25" s="151"/>
      <c r="O25" s="146"/>
    </row>
    <row r="26" spans="2:15" s="41" customFormat="1" ht="26.4" x14ac:dyDescent="0.25">
      <c r="B26" s="123"/>
      <c r="C26" s="239" t="s">
        <v>327</v>
      </c>
      <c r="D26" s="51">
        <v>0.02</v>
      </c>
      <c r="E26" s="148" t="s">
        <v>89</v>
      </c>
      <c r="F26" s="78"/>
      <c r="G26" s="51">
        <v>0</v>
      </c>
      <c r="H26" s="51">
        <f t="shared" si="1"/>
        <v>0</v>
      </c>
      <c r="I26" s="78" t="s">
        <v>328</v>
      </c>
      <c r="J26" s="124"/>
      <c r="K26" s="131"/>
      <c r="L26" s="70"/>
      <c r="M26" s="70"/>
    </row>
    <row r="27" spans="2:15" s="41" customFormat="1" ht="26.4" x14ac:dyDescent="0.25">
      <c r="B27" s="123"/>
      <c r="C27" s="239" t="s">
        <v>90</v>
      </c>
      <c r="D27" s="51">
        <v>0.05</v>
      </c>
      <c r="E27" s="148" t="s">
        <v>91</v>
      </c>
      <c r="F27" s="78"/>
      <c r="G27" s="51">
        <v>0</v>
      </c>
      <c r="H27" s="51">
        <f t="shared" si="1"/>
        <v>0</v>
      </c>
      <c r="I27" s="78" t="s">
        <v>329</v>
      </c>
      <c r="J27" s="124"/>
      <c r="L27" s="70"/>
      <c r="M27" s="70"/>
    </row>
    <row r="28" spans="2:15" s="41" customFormat="1" ht="13.8" x14ac:dyDescent="0.25">
      <c r="B28" s="123"/>
      <c r="C28" s="239" t="s">
        <v>330</v>
      </c>
      <c r="D28" s="51">
        <v>0.02</v>
      </c>
      <c r="E28" s="148" t="s">
        <v>331</v>
      </c>
      <c r="F28" s="78"/>
      <c r="G28" s="51">
        <v>0</v>
      </c>
      <c r="H28" s="51">
        <f t="shared" si="1"/>
        <v>0</v>
      </c>
      <c r="I28" s="78" t="s">
        <v>297</v>
      </c>
      <c r="J28" s="124"/>
      <c r="L28" s="70"/>
      <c r="M28" s="70"/>
    </row>
    <row r="29" spans="2:15" s="41" customFormat="1" ht="27" thickBot="1" x14ac:dyDescent="0.3">
      <c r="B29" s="123"/>
      <c r="C29" s="242" t="s">
        <v>330</v>
      </c>
      <c r="D29" s="53">
        <v>0.02</v>
      </c>
      <c r="E29" s="141" t="s">
        <v>332</v>
      </c>
      <c r="F29" s="251"/>
      <c r="G29" s="53">
        <v>0</v>
      </c>
      <c r="H29" s="53">
        <f t="shared" si="1"/>
        <v>0</v>
      </c>
      <c r="I29" s="251" t="s">
        <v>324</v>
      </c>
      <c r="J29" s="124"/>
      <c r="L29" s="70"/>
      <c r="M29" s="70"/>
    </row>
    <row r="30" spans="2:15" s="20" customFormat="1" ht="15.6" customHeight="1" thickBot="1" x14ac:dyDescent="0.3">
      <c r="B30" s="18"/>
      <c r="C30" s="234" t="s">
        <v>55</v>
      </c>
      <c r="D30" s="235">
        <f>SUM(D14:D29)</f>
        <v>0.44000000000000006</v>
      </c>
      <c r="E30" s="819"/>
      <c r="F30" s="819"/>
      <c r="G30" s="819"/>
      <c r="H30" s="82">
        <f>SUM(H14:H29)</f>
        <v>0</v>
      </c>
      <c r="I30" s="236"/>
      <c r="J30" s="19"/>
      <c r="L30" s="41"/>
      <c r="M30" s="146"/>
      <c r="N30" s="41"/>
    </row>
    <row r="31" spans="2:15" s="3" customFormat="1" ht="20.25" customHeight="1" thickBot="1" x14ac:dyDescent="0.35">
      <c r="B31" s="15"/>
      <c r="C31" s="784" t="s">
        <v>56</v>
      </c>
      <c r="D31" s="785"/>
      <c r="E31" s="785"/>
      <c r="F31" s="785"/>
      <c r="G31" s="785"/>
      <c r="H31" s="785"/>
      <c r="I31" s="786"/>
      <c r="J31" s="6"/>
      <c r="L31" s="41"/>
      <c r="M31" s="41"/>
      <c r="N31" s="41"/>
    </row>
    <row r="32" spans="2:15" s="41" customFormat="1" ht="29.85" customHeight="1" thickBot="1" x14ac:dyDescent="0.3">
      <c r="B32" s="108"/>
      <c r="C32" s="231" t="s">
        <v>36</v>
      </c>
      <c r="D32" s="232" t="s">
        <v>37</v>
      </c>
      <c r="E32" s="233" t="s">
        <v>38</v>
      </c>
      <c r="F32" s="232" t="s">
        <v>39</v>
      </c>
      <c r="G32" s="232" t="s">
        <v>40</v>
      </c>
      <c r="H32" s="232" t="s">
        <v>41</v>
      </c>
      <c r="I32" s="233" t="s">
        <v>42</v>
      </c>
      <c r="J32" s="109"/>
      <c r="L32" s="20"/>
      <c r="M32" s="20"/>
      <c r="N32" s="20"/>
    </row>
    <row r="33" spans="2:15" ht="25.05" customHeight="1" x14ac:dyDescent="0.3">
      <c r="B33" s="34"/>
      <c r="C33" s="244" t="s">
        <v>333</v>
      </c>
      <c r="D33" s="60">
        <v>0.08</v>
      </c>
      <c r="E33" s="286" t="s">
        <v>58</v>
      </c>
      <c r="F33" s="147"/>
      <c r="G33" s="60">
        <v>0</v>
      </c>
      <c r="H33" s="60">
        <f t="shared" ref="H33:H34" si="2">G33*D33</f>
        <v>0</v>
      </c>
      <c r="I33" s="147" t="s">
        <v>334</v>
      </c>
      <c r="J33" s="35"/>
      <c r="L33" s="3"/>
      <c r="M33" s="3"/>
      <c r="N33" s="3"/>
    </row>
    <row r="34" spans="2:15" ht="16.2" thickBot="1" x14ac:dyDescent="0.35">
      <c r="B34" s="34"/>
      <c r="C34" s="242" t="s">
        <v>238</v>
      </c>
      <c r="D34" s="53">
        <v>0.08</v>
      </c>
      <c r="E34" s="141" t="s">
        <v>239</v>
      </c>
      <c r="F34" s="251"/>
      <c r="G34" s="53">
        <v>0</v>
      </c>
      <c r="H34" s="53">
        <f t="shared" si="2"/>
        <v>0</v>
      </c>
      <c r="I34" s="251" t="s">
        <v>335</v>
      </c>
      <c r="J34" s="35"/>
      <c r="L34" s="3"/>
      <c r="M34" s="3"/>
      <c r="N34" s="3"/>
    </row>
    <row r="35" spans="2:15" s="20" customFormat="1" ht="15.6" customHeight="1" thickBot="1" x14ac:dyDescent="0.3">
      <c r="B35" s="18"/>
      <c r="C35" s="234" t="s">
        <v>63</v>
      </c>
      <c r="D35" s="235">
        <f>SUM(D33:D34)</f>
        <v>0.16</v>
      </c>
      <c r="E35" s="819"/>
      <c r="F35" s="819"/>
      <c r="G35" s="819"/>
      <c r="H35" s="243">
        <f>SUM(H33:H34)</f>
        <v>0</v>
      </c>
      <c r="I35" s="236"/>
      <c r="J35" s="19"/>
    </row>
    <row r="36" spans="2:15" s="3" customFormat="1" ht="20.25" customHeight="1" thickBot="1" x14ac:dyDescent="0.35">
      <c r="B36" s="15"/>
      <c r="C36" s="781" t="s">
        <v>64</v>
      </c>
      <c r="D36" s="782"/>
      <c r="E36" s="782"/>
      <c r="F36" s="782"/>
      <c r="G36" s="782"/>
      <c r="H36" s="782"/>
      <c r="I36" s="786"/>
      <c r="J36" s="6"/>
    </row>
    <row r="37" spans="2:15" s="41" customFormat="1" ht="29.85" customHeight="1" thickBot="1" x14ac:dyDescent="0.3">
      <c r="B37" s="108"/>
      <c r="C37" s="209" t="s">
        <v>36</v>
      </c>
      <c r="D37" s="207" t="s">
        <v>37</v>
      </c>
      <c r="E37" s="233" t="s">
        <v>38</v>
      </c>
      <c r="F37" s="232" t="s">
        <v>39</v>
      </c>
      <c r="G37" s="207" t="s">
        <v>40</v>
      </c>
      <c r="H37" s="207" t="s">
        <v>41</v>
      </c>
      <c r="I37" s="210" t="s">
        <v>42</v>
      </c>
      <c r="J37" s="109"/>
      <c r="L37" s="151"/>
    </row>
    <row r="38" spans="2:15" s="41" customFormat="1" ht="26.4" x14ac:dyDescent="0.25">
      <c r="B38" s="108"/>
      <c r="C38" s="56" t="s">
        <v>336</v>
      </c>
      <c r="D38" s="79">
        <v>0.04</v>
      </c>
      <c r="E38" s="292" t="s">
        <v>337</v>
      </c>
      <c r="F38" s="295"/>
      <c r="G38" s="248">
        <v>0</v>
      </c>
      <c r="H38" s="60">
        <f t="shared" ref="H38:H40" si="3">G38*D38</f>
        <v>0</v>
      </c>
      <c r="I38" s="105"/>
      <c r="J38" s="109"/>
      <c r="K38" s="131"/>
      <c r="M38" s="151"/>
      <c r="N38" s="151"/>
      <c r="O38" s="146"/>
    </row>
    <row r="39" spans="2:15" s="41" customFormat="1" ht="15" thickBot="1" x14ac:dyDescent="0.3">
      <c r="B39" s="108"/>
      <c r="C39" s="56" t="s">
        <v>338</v>
      </c>
      <c r="D39" s="79">
        <v>0.03</v>
      </c>
      <c r="E39" s="293" t="s">
        <v>339</v>
      </c>
      <c r="F39" s="296"/>
      <c r="G39" s="248">
        <v>0</v>
      </c>
      <c r="H39" s="51">
        <f t="shared" si="3"/>
        <v>0</v>
      </c>
      <c r="I39" s="205" t="s">
        <v>340</v>
      </c>
      <c r="J39" s="109"/>
      <c r="K39" s="131"/>
      <c r="M39" s="151"/>
      <c r="N39" s="151"/>
      <c r="O39" s="146"/>
    </row>
    <row r="40" spans="2:15" s="41" customFormat="1" ht="45.6" customHeight="1" thickBot="1" x14ac:dyDescent="0.3">
      <c r="B40" s="108"/>
      <c r="C40" s="56" t="s">
        <v>341</v>
      </c>
      <c r="D40" s="79">
        <v>0.03</v>
      </c>
      <c r="E40" s="294" t="s">
        <v>867</v>
      </c>
      <c r="F40" s="297"/>
      <c r="G40" s="248">
        <v>0</v>
      </c>
      <c r="H40" s="51">
        <f t="shared" si="3"/>
        <v>0</v>
      </c>
      <c r="I40" s="105"/>
      <c r="J40" s="109"/>
      <c r="K40" s="131"/>
      <c r="M40" s="151"/>
      <c r="N40" s="151"/>
      <c r="O40" s="146"/>
    </row>
    <row r="41" spans="2:15" s="20" customFormat="1" ht="15.6" customHeight="1" thickBot="1" x14ac:dyDescent="0.3">
      <c r="B41" s="18"/>
      <c r="C41" s="27" t="s">
        <v>70</v>
      </c>
      <c r="D41" s="30">
        <f>SUM(D38:D40)</f>
        <v>0.1</v>
      </c>
      <c r="E41" s="818"/>
      <c r="F41" s="819"/>
      <c r="G41" s="780"/>
      <c r="H41" s="29">
        <f>SUM(H38:H40)</f>
        <v>0</v>
      </c>
      <c r="I41" s="40"/>
      <c r="J41" s="19"/>
      <c r="L41" s="67"/>
      <c r="M41" s="65"/>
    </row>
    <row r="42" spans="2:15" s="20" customFormat="1" ht="14.4" thickBot="1" x14ac:dyDescent="0.3">
      <c r="B42" s="18"/>
      <c r="C42" s="36" t="s">
        <v>71</v>
      </c>
      <c r="D42" s="37">
        <f>D41+D35+D30+D11</f>
        <v>1</v>
      </c>
      <c r="E42" s="799"/>
      <c r="F42" s="799"/>
      <c r="G42" s="799"/>
      <c r="H42" s="799"/>
      <c r="I42" s="800"/>
      <c r="J42" s="19"/>
      <c r="L42" s="69"/>
      <c r="M42" s="66"/>
    </row>
    <row r="43" spans="2:15" s="20" customFormat="1" ht="14.4" thickBot="1" x14ac:dyDescent="0.3">
      <c r="B43" s="18"/>
      <c r="C43" s="775" t="s">
        <v>72</v>
      </c>
      <c r="D43" s="776"/>
      <c r="E43" s="776"/>
      <c r="F43" s="777"/>
      <c r="G43" s="787">
        <f ca="1">H41+H35+H30+H11</f>
        <v>0</v>
      </c>
      <c r="H43" s="788"/>
      <c r="I43" s="789"/>
      <c r="J43" s="19"/>
      <c r="M43" s="67"/>
    </row>
    <row r="44" spans="2:15" ht="15" customHeight="1" thickBot="1" x14ac:dyDescent="0.5">
      <c r="B44" s="8"/>
      <c r="C44" s="9"/>
      <c r="D44" s="9"/>
      <c r="E44" s="10"/>
      <c r="F44" s="44"/>
      <c r="G44" s="11"/>
      <c r="H44" s="11"/>
      <c r="I44" s="12"/>
      <c r="J44" s="7"/>
      <c r="M44" s="68"/>
    </row>
  </sheetData>
  <mergeCells count="14">
    <mergeCell ref="C12:I12"/>
    <mergeCell ref="C3:E3"/>
    <mergeCell ref="F3:I3"/>
    <mergeCell ref="F4:I4"/>
    <mergeCell ref="C5:I5"/>
    <mergeCell ref="E11:G11"/>
    <mergeCell ref="C43:F43"/>
    <mergeCell ref="G43:I43"/>
    <mergeCell ref="E30:G30"/>
    <mergeCell ref="C31:I31"/>
    <mergeCell ref="E35:G35"/>
    <mergeCell ref="C36:I36"/>
    <mergeCell ref="E41:G41"/>
    <mergeCell ref="E42:I42"/>
  </mergeCells>
  <conditionalFormatting sqref="D42">
    <cfRule type="cellIs" dxfId="47" priority="1" stopIfTrue="1" operator="greaterThan">
      <formula>1</formula>
    </cfRule>
    <cfRule type="cellIs" dxfId="46" priority="2" stopIfTrue="1" operator="lessThan">
      <formula>1</formula>
    </cfRule>
  </conditionalFormatting>
  <conditionalFormatting sqref="H11">
    <cfRule type="expression" dxfId="45" priority="3" stopIfTrue="1">
      <formula>"if($H$14/$D$14)&lt;80"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6392-DE72-4168-838F-CF2A4F6FE72D}">
  <sheetPr codeName="Sheet11"/>
  <dimension ref="B1:O33"/>
  <sheetViews>
    <sheetView zoomScale="80" zoomScaleNormal="80" workbookViewId="0">
      <selection activeCell="E29" sqref="E29"/>
    </sheetView>
  </sheetViews>
  <sheetFormatPr defaultColWidth="8.77734375" defaultRowHeight="13.2" x14ac:dyDescent="0.25"/>
  <cols>
    <col min="1" max="1" width="1.5546875" customWidth="1"/>
    <col min="2" max="2" width="1.77734375" customWidth="1"/>
    <col min="3" max="3" width="72.44140625" customWidth="1"/>
    <col min="4" max="4" width="14.5546875" customWidth="1"/>
    <col min="5" max="5" width="69.44140625" style="5" customWidth="1"/>
    <col min="6" max="6" width="27.21875" style="42" customWidth="1"/>
    <col min="7" max="7" width="18.44140625" style="5" customWidth="1"/>
    <col min="8" max="8" width="18.21875" style="5" customWidth="1"/>
    <col min="9" max="9" width="26.77734375" style="5" customWidth="1"/>
    <col min="10" max="10" width="2.5546875" customWidth="1"/>
    <col min="11" max="11" width="11.21875" bestFit="1" customWidth="1"/>
    <col min="12" max="12" width="11.44140625" customWidth="1"/>
    <col min="13" max="13" width="11.77734375" customWidth="1"/>
    <col min="15" max="15" width="22.5546875" bestFit="1" customWidth="1"/>
  </cols>
  <sheetData>
    <row r="1" spans="2:14" ht="13.8" thickBot="1" x14ac:dyDescent="0.3"/>
    <row r="2" spans="2:14" s="1" customFormat="1" ht="9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4" s="2" customFormat="1" ht="24.6" x14ac:dyDescent="0.4">
      <c r="B3" s="14"/>
      <c r="C3" s="790" t="s">
        <v>342</v>
      </c>
      <c r="D3" s="791"/>
      <c r="E3" s="792"/>
      <c r="F3" s="793" t="s">
        <v>33</v>
      </c>
      <c r="G3" s="794"/>
      <c r="H3" s="794"/>
      <c r="I3" s="795"/>
      <c r="J3" s="26"/>
    </row>
    <row r="4" spans="2:14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4" s="3" customFormat="1" ht="23.4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4" s="41" customFormat="1" ht="28.2" thickBot="1" x14ac:dyDescent="0.3">
      <c r="B6" s="108"/>
      <c r="C6" s="206" t="s">
        <v>36</v>
      </c>
      <c r="D6" s="207" t="s">
        <v>37</v>
      </c>
      <c r="E6" s="207" t="s">
        <v>38</v>
      </c>
      <c r="F6" s="232" t="s">
        <v>39</v>
      </c>
      <c r="G6" s="207" t="s">
        <v>40</v>
      </c>
      <c r="H6" s="207" t="s">
        <v>41</v>
      </c>
      <c r="I6" s="208" t="s">
        <v>42</v>
      </c>
      <c r="J6" s="109"/>
    </row>
    <row r="7" spans="2:14" s="41" customFormat="1" x14ac:dyDescent="0.25">
      <c r="B7" s="108"/>
      <c r="C7" s="59" t="s">
        <v>292</v>
      </c>
      <c r="D7" s="39">
        <v>0.05</v>
      </c>
      <c r="E7" s="153" t="s">
        <v>343</v>
      </c>
      <c r="F7" s="308"/>
      <c r="G7" s="258">
        <v>0</v>
      </c>
      <c r="H7" s="60">
        <f>G7*D7</f>
        <v>0</v>
      </c>
      <c r="I7" s="111"/>
      <c r="J7" s="109"/>
    </row>
    <row r="8" spans="2:14" s="41" customFormat="1" ht="26.4" x14ac:dyDescent="0.25">
      <c r="B8" s="108"/>
      <c r="C8" s="75" t="s">
        <v>344</v>
      </c>
      <c r="D8" s="51">
        <v>0.05</v>
      </c>
      <c r="E8" s="160">
        <v>0.111</v>
      </c>
      <c r="F8" s="157"/>
      <c r="G8" s="258">
        <v>0</v>
      </c>
      <c r="H8" s="51">
        <f t="shared" ref="H8:H9" si="0">G8*D8</f>
        <v>0</v>
      </c>
      <c r="I8" s="159"/>
      <c r="J8" s="109"/>
    </row>
    <row r="9" spans="2:14" s="41" customFormat="1" x14ac:dyDescent="0.25">
      <c r="B9" s="108"/>
      <c r="C9" s="75" t="s">
        <v>238</v>
      </c>
      <c r="D9" s="51">
        <v>0.1</v>
      </c>
      <c r="E9" s="307" t="s">
        <v>239</v>
      </c>
      <c r="F9" s="157"/>
      <c r="G9" s="258">
        <v>0</v>
      </c>
      <c r="H9" s="51">
        <f t="shared" si="0"/>
        <v>0</v>
      </c>
      <c r="I9" s="159"/>
      <c r="J9" s="109"/>
    </row>
    <row r="10" spans="2:14" s="117" customFormat="1" ht="26.4" x14ac:dyDescent="0.25">
      <c r="B10" s="112"/>
      <c r="C10" s="75" t="s">
        <v>345</v>
      </c>
      <c r="D10" s="51">
        <v>0.1</v>
      </c>
      <c r="E10" s="247" t="s">
        <v>346</v>
      </c>
      <c r="F10" s="78"/>
      <c r="G10" s="258">
        <v>0</v>
      </c>
      <c r="H10" s="51">
        <f t="shared" ref="H10:H12" si="1">G10*D10</f>
        <v>0</v>
      </c>
      <c r="I10" s="81"/>
      <c r="J10" s="116"/>
      <c r="L10" s="136"/>
      <c r="N10" s="137"/>
    </row>
    <row r="11" spans="2:14" s="41" customFormat="1" ht="26.4" x14ac:dyDescent="0.25">
      <c r="B11" s="108"/>
      <c r="C11" s="75" t="s">
        <v>347</v>
      </c>
      <c r="D11" s="51">
        <v>0.1</v>
      </c>
      <c r="E11" s="247" t="s">
        <v>348</v>
      </c>
      <c r="F11" s="157"/>
      <c r="G11" s="258">
        <v>0</v>
      </c>
      <c r="H11" s="51">
        <f t="shared" si="1"/>
        <v>0</v>
      </c>
      <c r="I11" s="81"/>
      <c r="J11" s="109"/>
    </row>
    <row r="12" spans="2:14" s="117" customFormat="1" ht="27" thickBot="1" x14ac:dyDescent="0.3">
      <c r="B12" s="112"/>
      <c r="C12" s="75" t="s">
        <v>349</v>
      </c>
      <c r="D12" s="51">
        <v>0.1</v>
      </c>
      <c r="E12" s="247" t="s">
        <v>350</v>
      </c>
      <c r="F12" s="251"/>
      <c r="G12" s="258">
        <v>0</v>
      </c>
      <c r="H12" s="53">
        <f t="shared" si="1"/>
        <v>0</v>
      </c>
      <c r="I12" s="81"/>
      <c r="J12" s="116"/>
      <c r="L12" s="136"/>
      <c r="N12" s="137"/>
    </row>
    <row r="13" spans="2:14" s="23" customFormat="1" ht="14.4" thickBot="1" x14ac:dyDescent="0.3">
      <c r="B13" s="21"/>
      <c r="C13" s="27" t="s">
        <v>49</v>
      </c>
      <c r="D13" s="30">
        <f>SUM(D7:D12)</f>
        <v>0.5</v>
      </c>
      <c r="E13" s="779"/>
      <c r="F13" s="819"/>
      <c r="G13" s="779"/>
      <c r="H13" s="82">
        <f>SUM(H7:H12)</f>
        <v>0</v>
      </c>
      <c r="I13" s="28"/>
      <c r="J13" s="22"/>
      <c r="L13" s="70"/>
      <c r="M13" s="61"/>
    </row>
    <row r="14" spans="2:14" s="3" customFormat="1" ht="16.2" thickBot="1" x14ac:dyDescent="0.35">
      <c r="B14" s="15"/>
      <c r="C14" s="784" t="s">
        <v>50</v>
      </c>
      <c r="D14" s="785"/>
      <c r="E14" s="785"/>
      <c r="F14" s="785"/>
      <c r="G14" s="785"/>
      <c r="H14" s="785"/>
      <c r="I14" s="786"/>
      <c r="J14" s="6"/>
      <c r="L14" s="63"/>
      <c r="M14" s="64"/>
    </row>
    <row r="15" spans="2:14" s="41" customFormat="1" ht="28.2" thickBot="1" x14ac:dyDescent="0.3">
      <c r="B15" s="108"/>
      <c r="C15" s="206" t="s">
        <v>36</v>
      </c>
      <c r="D15" s="207" t="s">
        <v>37</v>
      </c>
      <c r="E15" s="208" t="s">
        <v>38</v>
      </c>
      <c r="F15" s="207" t="s">
        <v>39</v>
      </c>
      <c r="G15" s="207" t="s">
        <v>40</v>
      </c>
      <c r="H15" s="207" t="s">
        <v>41</v>
      </c>
      <c r="I15" s="208" t="s">
        <v>42</v>
      </c>
      <c r="J15" s="109"/>
    </row>
    <row r="16" spans="2:14" s="41" customFormat="1" ht="13.8" x14ac:dyDescent="0.25">
      <c r="B16" s="123"/>
      <c r="C16" s="50" t="s">
        <v>51</v>
      </c>
      <c r="D16" s="51">
        <v>0.1</v>
      </c>
      <c r="E16" s="312" t="s">
        <v>52</v>
      </c>
      <c r="F16" s="254"/>
      <c r="G16" s="51">
        <v>0</v>
      </c>
      <c r="H16" s="72">
        <f t="shared" ref="H16:H18" si="2">G16*D16</f>
        <v>0</v>
      </c>
      <c r="I16" s="73"/>
      <c r="J16" s="124"/>
      <c r="L16" s="70"/>
      <c r="M16" s="70"/>
    </row>
    <row r="17" spans="2:15" s="41" customFormat="1" ht="13.8" x14ac:dyDescent="0.25">
      <c r="B17" s="123"/>
      <c r="C17" s="50" t="s">
        <v>351</v>
      </c>
      <c r="D17" s="51">
        <v>0.05</v>
      </c>
      <c r="E17" s="253" t="s">
        <v>352</v>
      </c>
      <c r="F17" s="255"/>
      <c r="G17" s="51">
        <v>0</v>
      </c>
      <c r="H17" s="72">
        <f t="shared" si="2"/>
        <v>0</v>
      </c>
      <c r="I17" s="78"/>
      <c r="J17" s="124"/>
      <c r="L17" s="70"/>
      <c r="M17" s="70"/>
    </row>
    <row r="18" spans="2:15" s="41" customFormat="1" ht="14.4" thickBot="1" x14ac:dyDescent="0.3">
      <c r="B18" s="123"/>
      <c r="C18" s="50" t="s">
        <v>353</v>
      </c>
      <c r="D18" s="51">
        <v>0.05</v>
      </c>
      <c r="E18" s="253" t="s">
        <v>354</v>
      </c>
      <c r="F18" s="256"/>
      <c r="G18" s="51">
        <v>0</v>
      </c>
      <c r="H18" s="72">
        <f t="shared" si="2"/>
        <v>0</v>
      </c>
      <c r="I18" s="129"/>
      <c r="J18" s="124"/>
      <c r="L18" s="70"/>
      <c r="M18" s="70"/>
    </row>
    <row r="19" spans="2:15" s="20" customFormat="1" ht="14.4" thickBot="1" x14ac:dyDescent="0.3">
      <c r="B19" s="18"/>
      <c r="C19" s="27" t="s">
        <v>55</v>
      </c>
      <c r="D19" s="30">
        <f>SUM(D16:D18)</f>
        <v>0.2</v>
      </c>
      <c r="E19" s="779"/>
      <c r="F19" s="779"/>
      <c r="G19" s="779"/>
      <c r="H19" s="62">
        <f>SUM(H16:H18)</f>
        <v>0</v>
      </c>
      <c r="I19" s="28"/>
      <c r="J19" s="19"/>
      <c r="L19" s="41"/>
      <c r="M19" s="146"/>
      <c r="N19" s="41"/>
    </row>
    <row r="20" spans="2:15" s="3" customFormat="1" ht="16.2" thickBot="1" x14ac:dyDescent="0.35">
      <c r="B20" s="15"/>
      <c r="C20" s="784" t="s">
        <v>56</v>
      </c>
      <c r="D20" s="785"/>
      <c r="E20" s="785"/>
      <c r="F20" s="785"/>
      <c r="G20" s="785"/>
      <c r="H20" s="785"/>
      <c r="I20" s="786"/>
      <c r="J20" s="6"/>
      <c r="L20" s="41"/>
      <c r="M20" s="41"/>
      <c r="N20" s="41"/>
    </row>
    <row r="21" spans="2:15" s="41" customFormat="1" ht="28.2" thickBot="1" x14ac:dyDescent="0.3">
      <c r="B21" s="108"/>
      <c r="C21" s="206" t="s">
        <v>36</v>
      </c>
      <c r="D21" s="207" t="s">
        <v>37</v>
      </c>
      <c r="E21" s="208" t="s">
        <v>38</v>
      </c>
      <c r="F21" s="207" t="s">
        <v>39</v>
      </c>
      <c r="G21" s="207" t="s">
        <v>40</v>
      </c>
      <c r="H21" s="207" t="s">
        <v>41</v>
      </c>
      <c r="I21" s="208" t="s">
        <v>42</v>
      </c>
      <c r="J21" s="109"/>
      <c r="L21" s="20"/>
      <c r="M21" s="20"/>
      <c r="N21" s="20"/>
    </row>
    <row r="22" spans="2:15" ht="15.6" x14ac:dyDescent="0.3">
      <c r="B22" s="34"/>
      <c r="C22" s="48" t="s">
        <v>355</v>
      </c>
      <c r="D22" s="49">
        <v>0.1</v>
      </c>
      <c r="E22" s="253" t="s">
        <v>356</v>
      </c>
      <c r="F22" s="73"/>
      <c r="G22" s="51">
        <v>0</v>
      </c>
      <c r="H22" s="60">
        <f t="shared" ref="H22:H23" si="3">G22*D22</f>
        <v>0</v>
      </c>
      <c r="I22" s="83"/>
      <c r="J22" s="35"/>
      <c r="L22" s="3"/>
      <c r="M22" s="3"/>
      <c r="N22" s="3"/>
    </row>
    <row r="23" spans="2:15" ht="16.2" thickBot="1" x14ac:dyDescent="0.35">
      <c r="B23" s="34"/>
      <c r="C23" s="50" t="s">
        <v>357</v>
      </c>
      <c r="D23" s="51">
        <v>0.1</v>
      </c>
      <c r="E23" s="253" t="s">
        <v>358</v>
      </c>
      <c r="F23" s="251"/>
      <c r="G23" s="51">
        <v>0</v>
      </c>
      <c r="H23" s="51">
        <f t="shared" si="3"/>
        <v>0</v>
      </c>
      <c r="I23" s="81"/>
      <c r="J23" s="35"/>
      <c r="L23" s="3"/>
      <c r="M23" s="3"/>
      <c r="N23" s="3"/>
    </row>
    <row r="24" spans="2:15" s="20" customFormat="1" ht="14.4" thickBot="1" x14ac:dyDescent="0.3">
      <c r="B24" s="18"/>
      <c r="C24" s="27" t="s">
        <v>63</v>
      </c>
      <c r="D24" s="30">
        <f>SUM(D22:D23)</f>
        <v>0.2</v>
      </c>
      <c r="E24" s="779"/>
      <c r="F24" s="779"/>
      <c r="G24" s="779"/>
      <c r="H24" s="29">
        <f>SUM(H22:H23)</f>
        <v>0</v>
      </c>
      <c r="I24" s="28"/>
      <c r="J24" s="19"/>
    </row>
    <row r="25" spans="2:15" s="3" customFormat="1" ht="16.2" thickBot="1" x14ac:dyDescent="0.35">
      <c r="B25" s="15"/>
      <c r="C25" s="781" t="s">
        <v>64</v>
      </c>
      <c r="D25" s="782"/>
      <c r="E25" s="782"/>
      <c r="F25" s="782"/>
      <c r="G25" s="782"/>
      <c r="H25" s="782"/>
      <c r="I25" s="786"/>
      <c r="J25" s="6"/>
    </row>
    <row r="26" spans="2:15" s="41" customFormat="1" ht="28.2" thickBot="1" x14ac:dyDescent="0.3">
      <c r="B26" s="108"/>
      <c r="C26" s="209" t="s">
        <v>36</v>
      </c>
      <c r="D26" s="207" t="s">
        <v>37</v>
      </c>
      <c r="E26" s="208" t="s">
        <v>38</v>
      </c>
      <c r="F26" s="207" t="s">
        <v>39</v>
      </c>
      <c r="G26" s="207" t="s">
        <v>40</v>
      </c>
      <c r="H26" s="207" t="s">
        <v>41</v>
      </c>
      <c r="I26" s="210" t="s">
        <v>42</v>
      </c>
      <c r="J26" s="109"/>
      <c r="L26" s="151"/>
    </row>
    <row r="27" spans="2:15" s="41" customFormat="1" ht="26.4" x14ac:dyDescent="0.25">
      <c r="B27" s="108"/>
      <c r="C27" s="56" t="s">
        <v>359</v>
      </c>
      <c r="D27" s="51">
        <v>0.04</v>
      </c>
      <c r="E27" s="309" t="s">
        <v>360</v>
      </c>
      <c r="F27" s="147"/>
      <c r="G27" s="51">
        <v>0</v>
      </c>
      <c r="H27" s="60">
        <f t="shared" ref="H27:H29" si="4">G27*D27</f>
        <v>0</v>
      </c>
      <c r="I27" s="52"/>
      <c r="J27" s="109"/>
      <c r="K27" s="131"/>
      <c r="M27" s="151"/>
      <c r="N27" s="151"/>
      <c r="O27" s="146"/>
    </row>
    <row r="28" spans="2:15" s="41" customFormat="1" ht="14.4" x14ac:dyDescent="0.25">
      <c r="B28" s="108"/>
      <c r="C28" s="130" t="s">
        <v>361</v>
      </c>
      <c r="D28" s="51">
        <v>0.03</v>
      </c>
      <c r="E28" s="310" t="s">
        <v>362</v>
      </c>
      <c r="F28" s="78"/>
      <c r="G28" s="51">
        <v>0</v>
      </c>
      <c r="H28" s="51">
        <f t="shared" si="4"/>
        <v>0</v>
      </c>
      <c r="I28" s="384" t="s">
        <v>363</v>
      </c>
      <c r="J28" s="109"/>
      <c r="K28" s="131"/>
      <c r="M28" s="151"/>
      <c r="N28" s="151"/>
      <c r="O28" s="146"/>
    </row>
    <row r="29" spans="2:15" s="41" customFormat="1" ht="13.8" thickBot="1" x14ac:dyDescent="0.3">
      <c r="B29" s="108"/>
      <c r="C29" s="130" t="s">
        <v>68</v>
      </c>
      <c r="D29" s="51">
        <v>0.03</v>
      </c>
      <c r="E29" s="311" t="s">
        <v>856</v>
      </c>
      <c r="F29" s="251"/>
      <c r="G29" s="51">
        <v>0</v>
      </c>
      <c r="H29" s="51">
        <f t="shared" si="4"/>
        <v>0</v>
      </c>
      <c r="I29" s="336"/>
      <c r="J29" s="109"/>
      <c r="K29" s="131"/>
      <c r="M29" s="151"/>
      <c r="N29" s="151"/>
      <c r="O29" s="146"/>
    </row>
    <row r="30" spans="2:15" s="20" customFormat="1" ht="14.4" thickBot="1" x14ac:dyDescent="0.3">
      <c r="B30" s="18"/>
      <c r="C30" s="27" t="s">
        <v>70</v>
      </c>
      <c r="D30" s="30">
        <f>SUM(D27:D29)</f>
        <v>0.1</v>
      </c>
      <c r="E30" s="778"/>
      <c r="F30" s="779"/>
      <c r="G30" s="780"/>
      <c r="H30" s="62">
        <f>SUM(H27:H29)</f>
        <v>0</v>
      </c>
      <c r="I30" s="40"/>
      <c r="J30" s="19"/>
      <c r="L30" s="67"/>
      <c r="M30" s="65"/>
    </row>
    <row r="31" spans="2:15" s="20" customFormat="1" ht="14.4" thickBot="1" x14ac:dyDescent="0.3">
      <c r="B31" s="18"/>
      <c r="C31" s="36" t="s">
        <v>71</v>
      </c>
      <c r="D31" s="37">
        <f>D30+D24+D19+D13</f>
        <v>1</v>
      </c>
      <c r="E31" s="799"/>
      <c r="F31" s="799"/>
      <c r="G31" s="799"/>
      <c r="H31" s="799"/>
      <c r="I31" s="800"/>
      <c r="J31" s="19"/>
      <c r="L31" s="69"/>
      <c r="M31" s="66"/>
    </row>
    <row r="32" spans="2:15" s="20" customFormat="1" ht="14.4" thickBot="1" x14ac:dyDescent="0.3">
      <c r="B32" s="18"/>
      <c r="C32" s="775" t="s">
        <v>72</v>
      </c>
      <c r="D32" s="776"/>
      <c r="E32" s="776"/>
      <c r="F32" s="777"/>
      <c r="G32" s="787">
        <f>H30+H24+H19+H13</f>
        <v>0</v>
      </c>
      <c r="H32" s="788"/>
      <c r="I32" s="789"/>
      <c r="J32" s="19"/>
      <c r="M32" s="67"/>
    </row>
    <row r="33" spans="2:13" ht="28.2" thickBot="1" x14ac:dyDescent="0.5">
      <c r="B33" s="8"/>
      <c r="C33" s="9"/>
      <c r="D33" s="9"/>
      <c r="E33" s="10"/>
      <c r="F33" s="44"/>
      <c r="G33" s="11"/>
      <c r="H33" s="11"/>
      <c r="I33" s="12"/>
      <c r="J33" s="7"/>
      <c r="M33" s="68"/>
    </row>
  </sheetData>
  <mergeCells count="14">
    <mergeCell ref="C14:I14"/>
    <mergeCell ref="C3:E3"/>
    <mergeCell ref="F3:I3"/>
    <mergeCell ref="F4:I4"/>
    <mergeCell ref="C5:I5"/>
    <mergeCell ref="E13:G13"/>
    <mergeCell ref="C32:F32"/>
    <mergeCell ref="G32:I32"/>
    <mergeCell ref="E19:G19"/>
    <mergeCell ref="C20:I20"/>
    <mergeCell ref="E24:G24"/>
    <mergeCell ref="C25:I25"/>
    <mergeCell ref="E30:G30"/>
    <mergeCell ref="E31:I31"/>
  </mergeCells>
  <conditionalFormatting sqref="D31">
    <cfRule type="cellIs" dxfId="44" priority="1" stopIfTrue="1" operator="greaterThan">
      <formula>1</formula>
    </cfRule>
    <cfRule type="cellIs" dxfId="43" priority="2" stopIfTrue="1" operator="lessThan">
      <formula>1</formula>
    </cfRule>
  </conditionalFormatting>
  <conditionalFormatting sqref="H13">
    <cfRule type="expression" dxfId="42" priority="3" stopIfTrue="1">
      <formula>"if($H$14/$D$14)&lt;80"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8AD7-D743-40FC-9130-F0B207E7987A}">
  <sheetPr codeName="Sheet12"/>
  <dimension ref="B1:L34"/>
  <sheetViews>
    <sheetView zoomScale="80" zoomScaleNormal="80" workbookViewId="0">
      <selection activeCell="E30" sqref="E30"/>
    </sheetView>
  </sheetViews>
  <sheetFormatPr defaultRowHeight="14.4" x14ac:dyDescent="0.3"/>
  <cols>
    <col min="1" max="1" width="2.77734375" customWidth="1"/>
    <col min="2" max="2" width="1.77734375" customWidth="1"/>
    <col min="3" max="3" width="71.44140625" customWidth="1"/>
    <col min="4" max="4" width="15.44140625" customWidth="1"/>
    <col min="5" max="5" width="68.77734375" customWidth="1"/>
    <col min="6" max="6" width="17.5546875" customWidth="1"/>
    <col min="7" max="7" width="18.77734375" customWidth="1"/>
    <col min="8" max="8" width="16.21875" customWidth="1"/>
    <col min="9" max="9" width="40" customWidth="1"/>
    <col min="10" max="10" width="1.5546875" customWidth="1"/>
    <col min="11" max="11" width="4.44140625" customWidth="1"/>
    <col min="12" max="12" width="8.77734375" style="161"/>
  </cols>
  <sheetData>
    <row r="1" spans="2:10" ht="15" thickBot="1" x14ac:dyDescent="0.35"/>
    <row r="2" spans="2:10" ht="7.8" customHeight="1" thickBot="1" x14ac:dyDescent="0.5">
      <c r="B2" s="162"/>
      <c r="C2" s="163"/>
      <c r="D2" s="163"/>
      <c r="E2" s="164"/>
      <c r="F2" s="165" t="s">
        <v>31</v>
      </c>
      <c r="G2" s="165"/>
      <c r="H2" s="165"/>
      <c r="I2" s="165"/>
      <c r="J2" s="166"/>
    </row>
    <row r="3" spans="2:10" ht="24.6" x14ac:dyDescent="0.4">
      <c r="B3" s="167"/>
      <c r="C3" s="821" t="s">
        <v>364</v>
      </c>
      <c r="D3" s="822"/>
      <c r="E3" s="823"/>
      <c r="F3" s="829" t="s">
        <v>33</v>
      </c>
      <c r="G3" s="830"/>
      <c r="H3" s="830"/>
      <c r="I3" s="830"/>
      <c r="J3" s="168"/>
    </row>
    <row r="4" spans="2:10" ht="25.2" thickBot="1" x14ac:dyDescent="0.45">
      <c r="B4" s="167"/>
      <c r="C4" s="824">
        <v>2024</v>
      </c>
      <c r="D4" s="825"/>
      <c r="E4" s="826"/>
      <c r="F4" s="831" t="s">
        <v>34</v>
      </c>
      <c r="G4" s="832"/>
      <c r="H4" s="832"/>
      <c r="I4" s="832"/>
      <c r="J4" s="168"/>
    </row>
    <row r="5" spans="2:10" ht="23.4" thickBot="1" x14ac:dyDescent="0.45">
      <c r="B5" s="169"/>
      <c r="C5" s="170" t="s">
        <v>35</v>
      </c>
      <c r="D5" s="171"/>
      <c r="E5" s="171"/>
      <c r="F5" s="170"/>
      <c r="G5" s="171"/>
      <c r="H5" s="171"/>
      <c r="I5" s="172"/>
      <c r="J5" s="168"/>
    </row>
    <row r="6" spans="2:10" ht="28.2" thickBot="1" x14ac:dyDescent="0.35">
      <c r="B6" s="173"/>
      <c r="C6" s="211" t="s">
        <v>36</v>
      </c>
      <c r="D6" s="212" t="s">
        <v>37</v>
      </c>
      <c r="E6" s="212" t="s">
        <v>38</v>
      </c>
      <c r="F6" s="212" t="s">
        <v>365</v>
      </c>
      <c r="G6" s="212" t="s">
        <v>366</v>
      </c>
      <c r="H6" s="212" t="s">
        <v>367</v>
      </c>
      <c r="I6" s="213" t="s">
        <v>42</v>
      </c>
      <c r="J6" s="175"/>
    </row>
    <row r="7" spans="2:10" x14ac:dyDescent="0.3">
      <c r="B7" s="173"/>
      <c r="C7" s="472" t="s">
        <v>368</v>
      </c>
      <c r="D7" s="263">
        <v>2.5000000000000001E-2</v>
      </c>
      <c r="E7" s="313" t="s">
        <v>75</v>
      </c>
      <c r="F7" s="269"/>
      <c r="G7" s="302">
        <f>IF(F7=0,0,F7/E7)</f>
        <v>0</v>
      </c>
      <c r="H7" s="60">
        <f>D7*G7</f>
        <v>0</v>
      </c>
      <c r="I7" s="377"/>
      <c r="J7" s="176"/>
    </row>
    <row r="8" spans="2:10" ht="26.4" x14ac:dyDescent="0.3">
      <c r="B8" s="173"/>
      <c r="C8" s="473" t="s">
        <v>369</v>
      </c>
      <c r="D8" s="264">
        <v>0.2</v>
      </c>
      <c r="E8" s="314" t="s">
        <v>370</v>
      </c>
      <c r="F8" s="275"/>
      <c r="G8" s="303">
        <f>IF(F8=0,0,F8/E8)</f>
        <v>0</v>
      </c>
      <c r="H8" s="51">
        <f>D8*G8</f>
        <v>0</v>
      </c>
      <c r="I8" s="378"/>
      <c r="J8" s="176"/>
    </row>
    <row r="9" spans="2:10" ht="26.4" x14ac:dyDescent="0.3">
      <c r="B9" s="173"/>
      <c r="C9" s="474" t="s">
        <v>371</v>
      </c>
      <c r="D9" s="264">
        <v>0.1</v>
      </c>
      <c r="E9" s="314" t="s">
        <v>372</v>
      </c>
      <c r="F9" s="275"/>
      <c r="G9" s="303">
        <f>IF(F9=0,0,F9/E9)</f>
        <v>0</v>
      </c>
      <c r="H9" s="51">
        <f>D9*G9</f>
        <v>0</v>
      </c>
      <c r="I9" s="379" t="s">
        <v>373</v>
      </c>
      <c r="J9" s="176"/>
    </row>
    <row r="10" spans="2:10" ht="26.4" x14ac:dyDescent="0.3">
      <c r="B10" s="173"/>
      <c r="C10" s="474" t="s">
        <v>374</v>
      </c>
      <c r="D10" s="264">
        <v>7.4999999999999997E-2</v>
      </c>
      <c r="E10" s="314">
        <v>0.43612447133488319</v>
      </c>
      <c r="F10" s="275"/>
      <c r="G10" s="303">
        <v>0</v>
      </c>
      <c r="H10" s="51">
        <f>D10*G10</f>
        <v>0</v>
      </c>
      <c r="I10" s="379" t="s">
        <v>375</v>
      </c>
      <c r="J10" s="176"/>
    </row>
    <row r="11" spans="2:10" ht="26.4" x14ac:dyDescent="0.3">
      <c r="B11" s="173"/>
      <c r="C11" s="474" t="s">
        <v>376</v>
      </c>
      <c r="D11" s="374">
        <v>0.05</v>
      </c>
      <c r="E11" s="314" t="s">
        <v>377</v>
      </c>
      <c r="F11" s="375"/>
      <c r="G11" s="303">
        <v>0</v>
      </c>
      <c r="H11" s="376">
        <f t="shared" ref="H11" si="0">D11*G11</f>
        <v>0</v>
      </c>
      <c r="I11" s="379" t="s">
        <v>375</v>
      </c>
      <c r="J11" s="176"/>
    </row>
    <row r="12" spans="2:10" ht="27" thickBot="1" x14ac:dyDescent="0.35">
      <c r="B12" s="173"/>
      <c r="C12" s="475" t="s">
        <v>378</v>
      </c>
      <c r="D12" s="265">
        <v>0.05</v>
      </c>
      <c r="E12" s="314" t="s">
        <v>379</v>
      </c>
      <c r="F12" s="285"/>
      <c r="G12" s="304">
        <f>IF(F12=0,0,F12/E12)</f>
        <v>0</v>
      </c>
      <c r="H12" s="53">
        <f>D12*G12</f>
        <v>0</v>
      </c>
      <c r="I12" s="380" t="s">
        <v>375</v>
      </c>
      <c r="J12" s="176"/>
    </row>
    <row r="13" spans="2:10" ht="16.2" thickBot="1" x14ac:dyDescent="0.35">
      <c r="B13" s="177"/>
      <c r="C13" s="214" t="s">
        <v>49</v>
      </c>
      <c r="D13" s="215">
        <f>SUM(D7:D12)</f>
        <v>0.5</v>
      </c>
      <c r="E13" s="216"/>
      <c r="F13" s="217"/>
      <c r="G13" s="218"/>
      <c r="H13" s="215">
        <f>SUM(H7:H12)</f>
        <v>0</v>
      </c>
      <c r="I13" s="219"/>
      <c r="J13" s="178"/>
    </row>
    <row r="14" spans="2:10" ht="16.2" thickBot="1" x14ac:dyDescent="0.35">
      <c r="B14" s="169"/>
      <c r="C14" s="170" t="s">
        <v>50</v>
      </c>
      <c r="D14" s="171"/>
      <c r="E14" s="171"/>
      <c r="F14" s="171"/>
      <c r="G14" s="171"/>
      <c r="H14" s="171"/>
      <c r="I14" s="179"/>
      <c r="J14" s="180"/>
    </row>
    <row r="15" spans="2:10" ht="28.2" thickBot="1" x14ac:dyDescent="0.35">
      <c r="B15" s="173"/>
      <c r="C15" s="211" t="s">
        <v>36</v>
      </c>
      <c r="D15" s="212" t="s">
        <v>37</v>
      </c>
      <c r="E15" s="212" t="s">
        <v>38</v>
      </c>
      <c r="F15" s="212" t="s">
        <v>365</v>
      </c>
      <c r="G15" s="212" t="s">
        <v>366</v>
      </c>
      <c r="H15" s="212" t="s">
        <v>367</v>
      </c>
      <c r="I15" s="213" t="s">
        <v>42</v>
      </c>
      <c r="J15" s="175"/>
    </row>
    <row r="16" spans="2:10" ht="26.4" x14ac:dyDescent="0.3">
      <c r="B16" s="173"/>
      <c r="C16" s="472" t="s">
        <v>380</v>
      </c>
      <c r="D16" s="263">
        <v>0.08</v>
      </c>
      <c r="E16" s="266" t="s">
        <v>381</v>
      </c>
      <c r="F16" s="269"/>
      <c r="G16" s="298">
        <f>F16/3000000</f>
        <v>0</v>
      </c>
      <c r="H16" s="60">
        <f>D16*G16</f>
        <v>0</v>
      </c>
      <c r="I16" s="272" t="s">
        <v>382</v>
      </c>
      <c r="J16" s="176"/>
    </row>
    <row r="17" spans="2:10" ht="26.4" x14ac:dyDescent="0.3">
      <c r="B17" s="173"/>
      <c r="C17" s="473" t="s">
        <v>383</v>
      </c>
      <c r="D17" s="264">
        <v>7.0000000000000007E-2</v>
      </c>
      <c r="E17" s="267" t="s">
        <v>384</v>
      </c>
      <c r="F17" s="270"/>
      <c r="G17" s="301">
        <v>0</v>
      </c>
      <c r="H17" s="51">
        <f>D17*G17</f>
        <v>0</v>
      </c>
      <c r="I17" s="273" t="s">
        <v>385</v>
      </c>
      <c r="J17" s="176"/>
    </row>
    <row r="18" spans="2:10" ht="15" thickBot="1" x14ac:dyDescent="0.35">
      <c r="B18" s="173"/>
      <c r="C18" s="476" t="s">
        <v>386</v>
      </c>
      <c r="D18" s="265">
        <v>0.05</v>
      </c>
      <c r="E18" s="268" t="s">
        <v>387</v>
      </c>
      <c r="F18" s="271"/>
      <c r="G18" s="300">
        <v>0</v>
      </c>
      <c r="H18" s="53">
        <f>D18*G18</f>
        <v>0</v>
      </c>
      <c r="I18" s="274"/>
      <c r="J18" s="176"/>
    </row>
    <row r="19" spans="2:10" ht="15" thickBot="1" x14ac:dyDescent="0.35">
      <c r="B19" s="181"/>
      <c r="C19" s="220" t="s">
        <v>55</v>
      </c>
      <c r="D19" s="215">
        <f>SUM(D16:D18)</f>
        <v>0.2</v>
      </c>
      <c r="E19" s="216"/>
      <c r="F19" s="217"/>
      <c r="G19" s="218"/>
      <c r="H19" s="221">
        <f>SUM(H16:H18)</f>
        <v>0</v>
      </c>
      <c r="I19" s="219"/>
      <c r="J19" s="182"/>
    </row>
    <row r="20" spans="2:10" ht="16.2" thickBot="1" x14ac:dyDescent="0.35">
      <c r="B20" s="169"/>
      <c r="C20" s="170" t="s">
        <v>56</v>
      </c>
      <c r="D20" s="171"/>
      <c r="E20" s="171"/>
      <c r="F20" s="171"/>
      <c r="G20" s="171"/>
      <c r="H20" s="171"/>
      <c r="I20" s="179"/>
      <c r="J20" s="180"/>
    </row>
    <row r="21" spans="2:10" ht="28.2" thickBot="1" x14ac:dyDescent="0.35">
      <c r="B21" s="173"/>
      <c r="C21" s="211" t="s">
        <v>36</v>
      </c>
      <c r="D21" s="212" t="s">
        <v>37</v>
      </c>
      <c r="E21" s="212" t="s">
        <v>38</v>
      </c>
      <c r="F21" s="212" t="s">
        <v>365</v>
      </c>
      <c r="G21" s="212" t="s">
        <v>366</v>
      </c>
      <c r="H21" s="212" t="s">
        <v>367</v>
      </c>
      <c r="I21" s="213" t="s">
        <v>42</v>
      </c>
      <c r="J21" s="175"/>
    </row>
    <row r="22" spans="2:10" x14ac:dyDescent="0.3">
      <c r="B22" s="173"/>
      <c r="C22" s="472" t="s">
        <v>388</v>
      </c>
      <c r="D22" s="263">
        <v>0.1</v>
      </c>
      <c r="E22" s="315" t="s">
        <v>389</v>
      </c>
      <c r="F22" s="269"/>
      <c r="G22" s="298">
        <v>0</v>
      </c>
      <c r="H22" s="60">
        <f>D22*G22</f>
        <v>0</v>
      </c>
      <c r="I22" s="277"/>
      <c r="J22" s="176"/>
    </row>
    <row r="23" spans="2:10" ht="26.4" x14ac:dyDescent="0.3">
      <c r="B23" s="173"/>
      <c r="C23" s="474" t="s">
        <v>390</v>
      </c>
      <c r="D23" s="264">
        <v>0.05</v>
      </c>
      <c r="E23" s="316" t="s">
        <v>391</v>
      </c>
      <c r="F23" s="275"/>
      <c r="G23" s="301">
        <v>0</v>
      </c>
      <c r="H23" s="51">
        <f>D23*G23</f>
        <v>0</v>
      </c>
      <c r="I23" s="273" t="s">
        <v>392</v>
      </c>
      <c r="J23" s="176"/>
    </row>
    <row r="24" spans="2:10" ht="27" thickBot="1" x14ac:dyDescent="0.35">
      <c r="B24" s="173"/>
      <c r="C24" s="475" t="s">
        <v>393</v>
      </c>
      <c r="D24" s="265">
        <v>0.05</v>
      </c>
      <c r="E24" s="317" t="s">
        <v>394</v>
      </c>
      <c r="F24" s="276"/>
      <c r="G24" s="300">
        <f>F24/126.8</f>
        <v>0</v>
      </c>
      <c r="H24" s="53">
        <f>D24*G24</f>
        <v>0</v>
      </c>
      <c r="I24" s="278"/>
      <c r="J24" s="176"/>
    </row>
    <row r="25" spans="2:10" ht="15" thickBot="1" x14ac:dyDescent="0.35">
      <c r="B25" s="183"/>
      <c r="C25" s="220" t="s">
        <v>63</v>
      </c>
      <c r="D25" s="215">
        <f>SUM(D22:D24)</f>
        <v>0.2</v>
      </c>
      <c r="E25" s="216"/>
      <c r="F25" s="217"/>
      <c r="G25" s="218"/>
      <c r="H25" s="221">
        <f>SUM(H22:H24)</f>
        <v>0</v>
      </c>
      <c r="I25" s="219"/>
      <c r="J25" s="184"/>
    </row>
    <row r="26" spans="2:10" ht="15.6" x14ac:dyDescent="0.3">
      <c r="B26" s="185"/>
      <c r="C26" s="186" t="s">
        <v>64</v>
      </c>
      <c r="D26" s="187"/>
      <c r="E26" s="187"/>
      <c r="F26" s="187"/>
      <c r="G26" s="187"/>
      <c r="H26" s="187"/>
      <c r="I26" s="179"/>
      <c r="J26" s="188"/>
    </row>
    <row r="27" spans="2:10" ht="28.2" thickBot="1" x14ac:dyDescent="0.35">
      <c r="B27" s="173"/>
      <c r="C27" s="211" t="s">
        <v>36</v>
      </c>
      <c r="D27" s="222" t="s">
        <v>37</v>
      </c>
      <c r="E27" s="223" t="s">
        <v>38</v>
      </c>
      <c r="F27" s="223" t="s">
        <v>365</v>
      </c>
      <c r="G27" s="223" t="s">
        <v>366</v>
      </c>
      <c r="H27" s="224" t="s">
        <v>367</v>
      </c>
      <c r="I27" s="224" t="s">
        <v>42</v>
      </c>
      <c r="J27" s="175"/>
    </row>
    <row r="28" spans="2:10" ht="38.549999999999997" customHeight="1" x14ac:dyDescent="0.3">
      <c r="B28" s="173"/>
      <c r="C28" s="477" t="s">
        <v>395</v>
      </c>
      <c r="D28" s="203">
        <v>0.04</v>
      </c>
      <c r="E28" s="280" t="s">
        <v>396</v>
      </c>
      <c r="F28" s="283"/>
      <c r="G28" s="298">
        <v>0</v>
      </c>
      <c r="H28" s="60">
        <f t="shared" ref="H28:H29" si="1">D28*G28</f>
        <v>0</v>
      </c>
      <c r="I28" s="272" t="s">
        <v>397</v>
      </c>
      <c r="J28" s="176"/>
    </row>
    <row r="29" spans="2:10" ht="41.55" customHeight="1" x14ac:dyDescent="0.3">
      <c r="B29" s="173"/>
      <c r="C29" s="474" t="s">
        <v>398</v>
      </c>
      <c r="D29" s="204">
        <v>0.03</v>
      </c>
      <c r="E29" s="281" t="s">
        <v>399</v>
      </c>
      <c r="F29" s="284"/>
      <c r="G29" s="299">
        <v>0</v>
      </c>
      <c r="H29" s="51">
        <f t="shared" si="1"/>
        <v>0</v>
      </c>
      <c r="I29" s="273" t="s">
        <v>400</v>
      </c>
      <c r="J29" s="176"/>
    </row>
    <row r="30" spans="2:10" ht="40.200000000000003" thickBot="1" x14ac:dyDescent="0.35">
      <c r="B30" s="173"/>
      <c r="C30" s="476" t="s">
        <v>401</v>
      </c>
      <c r="D30" s="279">
        <v>0.03</v>
      </c>
      <c r="E30" s="282" t="s">
        <v>854</v>
      </c>
      <c r="F30" s="285"/>
      <c r="G30" s="300">
        <v>0</v>
      </c>
      <c r="H30" s="53">
        <f>D30*G30</f>
        <v>0</v>
      </c>
      <c r="I30" s="274" t="s">
        <v>402</v>
      </c>
      <c r="J30" s="176"/>
    </row>
    <row r="31" spans="2:10" ht="16.2" thickBot="1" x14ac:dyDescent="0.35">
      <c r="B31" s="181"/>
      <c r="C31" s="220" t="s">
        <v>70</v>
      </c>
      <c r="D31" s="225">
        <v>0.1</v>
      </c>
      <c r="E31" s="226"/>
      <c r="F31" s="227"/>
      <c r="G31" s="228"/>
      <c r="H31" s="229">
        <f>SUM(H28:H30)</f>
        <v>0</v>
      </c>
      <c r="I31" s="230"/>
      <c r="J31" s="182"/>
    </row>
    <row r="32" spans="2:10" ht="15" thickBot="1" x14ac:dyDescent="0.35">
      <c r="B32" s="181"/>
      <c r="C32" s="189" t="s">
        <v>71</v>
      </c>
      <c r="D32" s="190">
        <f>D31+D25+D19+D13</f>
        <v>1</v>
      </c>
      <c r="E32" s="191"/>
      <c r="F32" s="191"/>
      <c r="G32" s="191"/>
      <c r="H32" s="191"/>
      <c r="I32" s="192"/>
      <c r="J32" s="182"/>
    </row>
    <row r="33" spans="2:10" ht="15" thickBot="1" x14ac:dyDescent="0.35">
      <c r="B33" s="181"/>
      <c r="C33" s="827" t="s">
        <v>72</v>
      </c>
      <c r="D33" s="828"/>
      <c r="E33" s="193"/>
      <c r="F33" s="194"/>
      <c r="G33" s="174" t="s">
        <v>403</v>
      </c>
      <c r="H33" s="190">
        <f>H31+H25+H19+H13</f>
        <v>0</v>
      </c>
      <c r="I33" s="195"/>
      <c r="J33" s="182"/>
    </row>
    <row r="34" spans="2:10" ht="9.6" customHeight="1" thickBot="1" x14ac:dyDescent="0.5">
      <c r="B34" s="196"/>
      <c r="C34" s="197"/>
      <c r="D34" s="197"/>
      <c r="E34" s="198"/>
      <c r="F34" s="199"/>
      <c r="G34" s="200"/>
      <c r="H34" s="200"/>
      <c r="I34" s="201"/>
      <c r="J34" s="202"/>
    </row>
  </sheetData>
  <mergeCells count="5">
    <mergeCell ref="C3:E3"/>
    <mergeCell ref="C4:E4"/>
    <mergeCell ref="C33:D33"/>
    <mergeCell ref="F3:I3"/>
    <mergeCell ref="F4:I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9471-6117-46C8-AD1F-5ED0E82E27B8}">
  <sheetPr codeName="Sheet13"/>
  <dimension ref="B1:O36"/>
  <sheetViews>
    <sheetView topLeftCell="A22" zoomScale="80" zoomScaleNormal="80" workbookViewId="0">
      <selection activeCell="F14" sqref="F14"/>
    </sheetView>
  </sheetViews>
  <sheetFormatPr defaultColWidth="8.77734375" defaultRowHeight="13.2" x14ac:dyDescent="0.25"/>
  <cols>
    <col min="1" max="1" width="1.5546875" customWidth="1"/>
    <col min="2" max="2" width="2.77734375" customWidth="1"/>
    <col min="3" max="3" width="64.21875" customWidth="1"/>
    <col min="4" max="4" width="13.44140625" customWidth="1"/>
    <col min="5" max="5" width="56.21875" style="5" customWidth="1"/>
    <col min="6" max="6" width="47.21875" style="42" customWidth="1"/>
    <col min="7" max="7" width="13.5546875" style="5" customWidth="1"/>
    <col min="8" max="8" width="18.21875" style="5" customWidth="1"/>
    <col min="9" max="9" width="55" style="5" customWidth="1"/>
    <col min="10" max="10" width="2.5546875" customWidth="1"/>
    <col min="11" max="11" width="11.21875" bestFit="1" customWidth="1"/>
    <col min="12" max="12" width="11.21875" customWidth="1"/>
    <col min="13" max="13" width="11.77734375" customWidth="1"/>
    <col min="15" max="15" width="22.77734375" bestFit="1" customWidth="1"/>
  </cols>
  <sheetData>
    <row r="1" spans="2:14" ht="8.25" customHeight="1" thickBot="1" x14ac:dyDescent="0.3"/>
    <row r="2" spans="2:14" s="1" customFormat="1" ht="12" customHeight="1" thickBot="1" x14ac:dyDescent="0.5">
      <c r="B2" s="13"/>
      <c r="C2" s="16"/>
      <c r="D2" s="16"/>
      <c r="E2" s="17"/>
      <c r="F2" s="43" t="s">
        <v>31</v>
      </c>
      <c r="G2" s="24"/>
      <c r="H2" s="24"/>
      <c r="I2" s="24"/>
      <c r="J2" s="25"/>
    </row>
    <row r="3" spans="2:14" s="2" customFormat="1" ht="28.35" customHeight="1" x14ac:dyDescent="0.4">
      <c r="B3" s="14"/>
      <c r="C3" s="790" t="s">
        <v>404</v>
      </c>
      <c r="D3" s="791"/>
      <c r="E3" s="792"/>
      <c r="F3" s="793" t="s">
        <v>33</v>
      </c>
      <c r="G3" s="794"/>
      <c r="H3" s="794"/>
      <c r="I3" s="795"/>
      <c r="J3" s="26"/>
    </row>
    <row r="4" spans="2:14" s="2" customFormat="1" ht="25.2" thickBot="1" x14ac:dyDescent="0.45">
      <c r="B4" s="14"/>
      <c r="C4" s="31">
        <v>2024</v>
      </c>
      <c r="D4" s="38"/>
      <c r="E4" s="32"/>
      <c r="F4" s="796" t="s">
        <v>34</v>
      </c>
      <c r="G4" s="797"/>
      <c r="H4" s="797"/>
      <c r="I4" s="798"/>
      <c r="J4" s="26"/>
      <c r="K4" s="45"/>
    </row>
    <row r="5" spans="2:14" s="3" customFormat="1" ht="20.25" customHeight="1" thickBot="1" x14ac:dyDescent="0.45">
      <c r="B5" s="15"/>
      <c r="C5" s="781" t="s">
        <v>35</v>
      </c>
      <c r="D5" s="782"/>
      <c r="E5" s="782"/>
      <c r="F5" s="782"/>
      <c r="G5" s="782"/>
      <c r="H5" s="782"/>
      <c r="I5" s="783"/>
      <c r="J5" s="26"/>
    </row>
    <row r="6" spans="2:14" s="41" customFormat="1" ht="29.85" customHeight="1" thickBot="1" x14ac:dyDescent="0.3">
      <c r="B6" s="108"/>
      <c r="C6" s="740" t="s">
        <v>36</v>
      </c>
      <c r="D6" s="741" t="s">
        <v>37</v>
      </c>
      <c r="E6" s="741" t="s">
        <v>38</v>
      </c>
      <c r="F6" s="741" t="s">
        <v>39</v>
      </c>
      <c r="G6" s="741" t="s">
        <v>40</v>
      </c>
      <c r="H6" s="741" t="s">
        <v>41</v>
      </c>
      <c r="I6" s="742" t="s">
        <v>42</v>
      </c>
      <c r="J6" s="109"/>
    </row>
    <row r="7" spans="2:14" s="41" customFormat="1" ht="15.75" customHeight="1" x14ac:dyDescent="0.25">
      <c r="B7" s="108"/>
      <c r="C7" s="110" t="s">
        <v>124</v>
      </c>
      <c r="D7" s="60">
        <v>0.05</v>
      </c>
      <c r="E7" s="743" t="s">
        <v>44</v>
      </c>
      <c r="F7" s="71"/>
      <c r="G7" s="744">
        <v>0</v>
      </c>
      <c r="H7" s="60">
        <f>G7*D7</f>
        <v>0</v>
      </c>
      <c r="I7" s="111"/>
      <c r="J7" s="109"/>
    </row>
    <row r="8" spans="2:14" s="117" customFormat="1" ht="26.4" x14ac:dyDescent="0.25">
      <c r="B8" s="112"/>
      <c r="C8" s="745" t="s">
        <v>405</v>
      </c>
      <c r="D8" s="51">
        <v>0.05</v>
      </c>
      <c r="E8" s="463">
        <v>0.111</v>
      </c>
      <c r="F8" s="55"/>
      <c r="G8" s="79">
        <v>0</v>
      </c>
      <c r="H8" s="51">
        <f t="shared" ref="H8:H9" si="0">G8*D8</f>
        <v>0</v>
      </c>
      <c r="I8" s="81"/>
      <c r="J8" s="116"/>
      <c r="L8" s="136"/>
      <c r="N8" s="137"/>
    </row>
    <row r="9" spans="2:14" s="41" customFormat="1" ht="27" thickBot="1" x14ac:dyDescent="0.3">
      <c r="B9" s="108"/>
      <c r="C9" s="745" t="s">
        <v>406</v>
      </c>
      <c r="D9" s="51">
        <v>0.2</v>
      </c>
      <c r="E9" s="114" t="s">
        <v>407</v>
      </c>
      <c r="F9" s="115"/>
      <c r="G9" s="79">
        <v>0</v>
      </c>
      <c r="H9" s="51">
        <f t="shared" si="0"/>
        <v>0</v>
      </c>
      <c r="I9" s="81" t="s">
        <v>408</v>
      </c>
      <c r="J9" s="109"/>
    </row>
    <row r="10" spans="2:14" s="23" customFormat="1" ht="15.75" customHeight="1" thickBot="1" x14ac:dyDescent="0.3">
      <c r="B10" s="21"/>
      <c r="C10" s="27" t="s">
        <v>49</v>
      </c>
      <c r="D10" s="30">
        <f>SUM(D7:D9)</f>
        <v>0.30000000000000004</v>
      </c>
      <c r="E10" s="779"/>
      <c r="F10" s="779"/>
      <c r="G10" s="779"/>
      <c r="H10" s="82">
        <f>SUM(H7:H9)</f>
        <v>0</v>
      </c>
      <c r="I10" s="28"/>
      <c r="J10" s="22"/>
      <c r="L10" s="70"/>
      <c r="M10" s="61"/>
    </row>
    <row r="11" spans="2:14" s="3" customFormat="1" ht="20.25" customHeight="1" thickBot="1" x14ac:dyDescent="0.35">
      <c r="B11" s="15"/>
      <c r="C11" s="784" t="s">
        <v>50</v>
      </c>
      <c r="D11" s="785"/>
      <c r="E11" s="785"/>
      <c r="F11" s="785"/>
      <c r="G11" s="785"/>
      <c r="H11" s="785"/>
      <c r="I11" s="786"/>
      <c r="J11" s="6"/>
      <c r="L11" s="63"/>
      <c r="M11" s="64"/>
    </row>
    <row r="12" spans="2:14" s="41" customFormat="1" ht="29.85" customHeight="1" thickBot="1" x14ac:dyDescent="0.3">
      <c r="B12" s="108"/>
      <c r="C12" s="740" t="s">
        <v>36</v>
      </c>
      <c r="D12" s="741" t="s">
        <v>37</v>
      </c>
      <c r="E12" s="742" t="s">
        <v>38</v>
      </c>
      <c r="F12" s="741" t="s">
        <v>39</v>
      </c>
      <c r="G12" s="741" t="s">
        <v>40</v>
      </c>
      <c r="H12" s="741" t="s">
        <v>41</v>
      </c>
      <c r="I12" s="742" t="s">
        <v>42</v>
      </c>
      <c r="J12" s="109"/>
    </row>
    <row r="13" spans="2:14" s="41" customFormat="1" ht="26.4" x14ac:dyDescent="0.25">
      <c r="B13" s="123"/>
      <c r="C13" s="746" t="s">
        <v>409</v>
      </c>
      <c r="D13" s="60">
        <v>0.1</v>
      </c>
      <c r="E13" s="747" t="s">
        <v>410</v>
      </c>
      <c r="F13" s="748"/>
      <c r="G13" s="60">
        <v>0</v>
      </c>
      <c r="H13" s="749">
        <f t="shared" ref="H13:H17" si="1">G13*D13</f>
        <v>0</v>
      </c>
      <c r="I13" s="147"/>
      <c r="J13" s="124"/>
      <c r="L13" s="70"/>
      <c r="M13" s="70"/>
    </row>
    <row r="14" spans="2:14" s="41" customFormat="1" ht="15.75" customHeight="1" x14ac:dyDescent="0.25">
      <c r="B14" s="123"/>
      <c r="C14" s="50" t="s">
        <v>411</v>
      </c>
      <c r="D14" s="51">
        <v>0.05</v>
      </c>
      <c r="E14" s="77" t="s">
        <v>412</v>
      </c>
      <c r="F14" s="74"/>
      <c r="G14" s="51">
        <v>0</v>
      </c>
      <c r="H14" s="72">
        <f t="shared" si="1"/>
        <v>0</v>
      </c>
      <c r="I14" s="78"/>
      <c r="J14" s="124"/>
      <c r="L14" s="70"/>
      <c r="M14" s="70"/>
    </row>
    <row r="15" spans="2:14" s="41" customFormat="1" ht="26.4" x14ac:dyDescent="0.25">
      <c r="B15" s="123"/>
      <c r="C15" s="323" t="s">
        <v>413</v>
      </c>
      <c r="D15" s="51">
        <v>0.05</v>
      </c>
      <c r="E15" s="77" t="s">
        <v>414</v>
      </c>
      <c r="F15" s="74"/>
      <c r="G15" s="51">
        <v>0</v>
      </c>
      <c r="H15" s="72">
        <f t="shared" si="1"/>
        <v>0</v>
      </c>
      <c r="I15" s="135"/>
      <c r="J15" s="124"/>
      <c r="M15" s="146"/>
    </row>
    <row r="16" spans="2:14" ht="14.4" x14ac:dyDescent="0.3">
      <c r="B16" s="173"/>
      <c r="C16" s="323" t="s">
        <v>415</v>
      </c>
      <c r="D16" s="264">
        <v>0.05</v>
      </c>
      <c r="E16" s="750" t="s">
        <v>416</v>
      </c>
      <c r="F16" s="270"/>
      <c r="G16" s="51">
        <v>0</v>
      </c>
      <c r="H16" s="51">
        <f>D16*G16</f>
        <v>0</v>
      </c>
      <c r="I16" s="273"/>
      <c r="J16" s="176"/>
      <c r="L16" s="161"/>
    </row>
    <row r="17" spans="2:15" s="41" customFormat="1" ht="27" thickBot="1" x14ac:dyDescent="0.3">
      <c r="B17" s="123"/>
      <c r="C17" s="361" t="s">
        <v>417</v>
      </c>
      <c r="D17" s="53">
        <v>0.05</v>
      </c>
      <c r="E17" s="381" t="s">
        <v>418</v>
      </c>
      <c r="F17" s="47"/>
      <c r="G17" s="53">
        <v>0</v>
      </c>
      <c r="H17" s="751">
        <f t="shared" si="1"/>
        <v>0</v>
      </c>
      <c r="I17" s="335"/>
      <c r="J17" s="124"/>
      <c r="M17" s="318"/>
    </row>
    <row r="18" spans="2:15" s="20" customFormat="1" ht="15.75" customHeight="1" thickBot="1" x14ac:dyDescent="0.3">
      <c r="B18" s="18"/>
      <c r="C18" s="27" t="s">
        <v>55</v>
      </c>
      <c r="D18" s="30">
        <f>SUM(D13:D17)</f>
        <v>0.3</v>
      </c>
      <c r="E18" s="779"/>
      <c r="F18" s="779"/>
      <c r="G18" s="779"/>
      <c r="H18" s="62">
        <f>SUM(H13:H17)</f>
        <v>0</v>
      </c>
      <c r="I18" s="28"/>
      <c r="J18" s="19"/>
      <c r="L18" s="41"/>
      <c r="M18" s="146"/>
      <c r="N18" s="41"/>
    </row>
    <row r="19" spans="2:15" s="3" customFormat="1" ht="20.25" customHeight="1" thickBot="1" x14ac:dyDescent="0.35">
      <c r="B19" s="15"/>
      <c r="C19" s="784" t="s">
        <v>56</v>
      </c>
      <c r="D19" s="785"/>
      <c r="E19" s="785"/>
      <c r="F19" s="785"/>
      <c r="G19" s="785"/>
      <c r="H19" s="785"/>
      <c r="I19" s="786"/>
      <c r="J19" s="6"/>
      <c r="L19" s="41"/>
      <c r="M19" s="41"/>
      <c r="N19" s="41"/>
    </row>
    <row r="20" spans="2:15" s="41" customFormat="1" ht="29.85" customHeight="1" thickBot="1" x14ac:dyDescent="0.3">
      <c r="B20" s="108"/>
      <c r="C20" s="740" t="s">
        <v>36</v>
      </c>
      <c r="D20" s="741" t="s">
        <v>37</v>
      </c>
      <c r="E20" s="742" t="s">
        <v>38</v>
      </c>
      <c r="F20" s="741" t="s">
        <v>39</v>
      </c>
      <c r="G20" s="741" t="s">
        <v>40</v>
      </c>
      <c r="H20" s="741" t="s">
        <v>41</v>
      </c>
      <c r="I20" s="742" t="s">
        <v>42</v>
      </c>
      <c r="J20" s="109"/>
      <c r="L20" s="20"/>
      <c r="M20" s="20"/>
      <c r="N20" s="20"/>
    </row>
    <row r="21" spans="2:15" ht="26.4" x14ac:dyDescent="0.3">
      <c r="B21" s="34"/>
      <c r="C21" s="746" t="s">
        <v>57</v>
      </c>
      <c r="D21" s="60">
        <v>0.1</v>
      </c>
      <c r="E21" s="747" t="s">
        <v>419</v>
      </c>
      <c r="F21" s="752"/>
      <c r="G21" s="60">
        <v>0</v>
      </c>
      <c r="H21" s="60">
        <f t="shared" ref="H21:H25" si="2">G21*D21</f>
        <v>0</v>
      </c>
      <c r="I21" s="290"/>
      <c r="J21" s="35"/>
      <c r="L21" s="3"/>
      <c r="M21" s="3"/>
      <c r="N21" s="3"/>
    </row>
    <row r="22" spans="2:15" ht="26.4" x14ac:dyDescent="0.3">
      <c r="B22" s="34"/>
      <c r="C22" s="50" t="s">
        <v>420</v>
      </c>
      <c r="D22" s="51">
        <v>0.05</v>
      </c>
      <c r="E22" s="77" t="s">
        <v>421</v>
      </c>
      <c r="F22" s="55"/>
      <c r="G22" s="51">
        <v>0</v>
      </c>
      <c r="H22" s="51">
        <f t="shared" si="2"/>
        <v>0</v>
      </c>
      <c r="I22" s="81"/>
      <c r="J22" s="35"/>
      <c r="L22" s="3"/>
      <c r="M22" s="3"/>
      <c r="N22" s="3"/>
    </row>
    <row r="23" spans="2:15" ht="26.4" x14ac:dyDescent="0.3">
      <c r="B23" s="34"/>
      <c r="C23" s="50" t="s">
        <v>90</v>
      </c>
      <c r="D23" s="51">
        <v>0.05</v>
      </c>
      <c r="E23" s="77" t="s">
        <v>91</v>
      </c>
      <c r="F23" s="55"/>
      <c r="G23" s="51">
        <v>0</v>
      </c>
      <c r="H23" s="51">
        <f t="shared" si="2"/>
        <v>0</v>
      </c>
      <c r="I23" s="81"/>
      <c r="J23" s="35"/>
      <c r="L23" s="3"/>
      <c r="M23" s="3"/>
      <c r="N23" s="3"/>
    </row>
    <row r="24" spans="2:15" ht="26.4" x14ac:dyDescent="0.3">
      <c r="B24" s="34"/>
      <c r="C24" s="50" t="s">
        <v>92</v>
      </c>
      <c r="D24" s="51">
        <v>0.05</v>
      </c>
      <c r="E24" s="77" t="s">
        <v>93</v>
      </c>
      <c r="F24" s="55"/>
      <c r="G24" s="51">
        <v>0</v>
      </c>
      <c r="H24" s="51">
        <f t="shared" si="2"/>
        <v>0</v>
      </c>
      <c r="I24" s="81"/>
      <c r="J24" s="35"/>
      <c r="L24" s="3"/>
      <c r="M24" s="3"/>
      <c r="N24" s="3"/>
    </row>
    <row r="25" spans="2:15" ht="27" thickBot="1" x14ac:dyDescent="0.35">
      <c r="B25" s="34"/>
      <c r="C25" s="50" t="s">
        <v>422</v>
      </c>
      <c r="D25" s="51">
        <v>0.05</v>
      </c>
      <c r="E25" s="77" t="s">
        <v>423</v>
      </c>
      <c r="F25" s="55"/>
      <c r="G25" s="51">
        <v>0</v>
      </c>
      <c r="H25" s="51">
        <f t="shared" si="2"/>
        <v>0</v>
      </c>
      <c r="I25" s="81"/>
      <c r="J25" s="35"/>
      <c r="L25" s="3"/>
      <c r="M25" s="3"/>
      <c r="N25" s="3"/>
    </row>
    <row r="26" spans="2:15" s="20" customFormat="1" ht="15.75" customHeight="1" thickBot="1" x14ac:dyDescent="0.3">
      <c r="B26" s="18"/>
      <c r="C26" s="27" t="s">
        <v>63</v>
      </c>
      <c r="D26" s="30">
        <f>SUM(D21:D25)</f>
        <v>0.3</v>
      </c>
      <c r="E26" s="779"/>
      <c r="F26" s="779"/>
      <c r="G26" s="779"/>
      <c r="H26" s="29">
        <f>SUM(H21:H25)</f>
        <v>0</v>
      </c>
      <c r="I26" s="28"/>
      <c r="J26" s="19"/>
    </row>
    <row r="27" spans="2:15" s="3" customFormat="1" ht="20.25" customHeight="1" thickBot="1" x14ac:dyDescent="0.35">
      <c r="B27" s="15"/>
      <c r="C27" s="781" t="s">
        <v>64</v>
      </c>
      <c r="D27" s="782"/>
      <c r="E27" s="782"/>
      <c r="F27" s="782"/>
      <c r="G27" s="782"/>
      <c r="H27" s="782"/>
      <c r="I27" s="786"/>
      <c r="J27" s="6"/>
    </row>
    <row r="28" spans="2:15" s="41" customFormat="1" ht="29.85" customHeight="1" thickBot="1" x14ac:dyDescent="0.3">
      <c r="B28" s="108"/>
      <c r="C28" s="753" t="s">
        <v>36</v>
      </c>
      <c r="D28" s="741" t="s">
        <v>37</v>
      </c>
      <c r="E28" s="742" t="s">
        <v>38</v>
      </c>
      <c r="F28" s="741" t="s">
        <v>39</v>
      </c>
      <c r="G28" s="741" t="s">
        <v>40</v>
      </c>
      <c r="H28" s="741" t="s">
        <v>41</v>
      </c>
      <c r="I28" s="754" t="s">
        <v>42</v>
      </c>
      <c r="J28" s="109"/>
      <c r="L28" s="151"/>
    </row>
    <row r="29" spans="2:15" s="41" customFormat="1" ht="30" customHeight="1" x14ac:dyDescent="0.25">
      <c r="B29" s="108"/>
      <c r="C29" s="746" t="s">
        <v>424</v>
      </c>
      <c r="D29" s="60">
        <v>0.05</v>
      </c>
      <c r="E29" s="747" t="s">
        <v>425</v>
      </c>
      <c r="F29" s="752"/>
      <c r="G29" s="60">
        <v>0</v>
      </c>
      <c r="H29" s="60">
        <f t="shared" ref="H29:H32" si="3">G29*D29</f>
        <v>0</v>
      </c>
      <c r="I29" s="84"/>
      <c r="J29" s="109"/>
      <c r="K29" s="131"/>
      <c r="M29" s="151"/>
      <c r="N29" s="151"/>
      <c r="O29" s="146"/>
    </row>
    <row r="30" spans="2:15" s="41" customFormat="1" ht="26.4" x14ac:dyDescent="0.25">
      <c r="B30" s="108"/>
      <c r="C30" s="50" t="s">
        <v>341</v>
      </c>
      <c r="D30" s="51">
        <v>0.02</v>
      </c>
      <c r="E30" s="77" t="s">
        <v>426</v>
      </c>
      <c r="F30" s="55"/>
      <c r="G30" s="51">
        <v>0</v>
      </c>
      <c r="H30" s="51">
        <f t="shared" si="3"/>
        <v>0</v>
      </c>
      <c r="I30" s="52"/>
      <c r="J30" s="109"/>
      <c r="K30" s="131"/>
      <c r="M30" s="151"/>
      <c r="N30" s="151"/>
      <c r="O30" s="146"/>
    </row>
    <row r="31" spans="2:15" s="41" customFormat="1" ht="39.6" x14ac:dyDescent="0.25">
      <c r="B31" s="108"/>
      <c r="C31" s="56" t="s">
        <v>427</v>
      </c>
      <c r="D31" s="51">
        <v>0.02</v>
      </c>
      <c r="E31" s="114" t="s">
        <v>428</v>
      </c>
      <c r="F31" s="55"/>
      <c r="G31" s="51">
        <v>0</v>
      </c>
      <c r="H31" s="51">
        <f t="shared" si="3"/>
        <v>0</v>
      </c>
      <c r="I31" s="52"/>
      <c r="J31" s="109"/>
      <c r="K31" s="131"/>
      <c r="M31" s="151"/>
      <c r="N31" s="151"/>
      <c r="O31" s="146"/>
    </row>
    <row r="32" spans="2:15" s="41" customFormat="1" ht="53.4" thickBot="1" x14ac:dyDescent="0.3">
      <c r="B32" s="108"/>
      <c r="C32" s="56" t="s">
        <v>429</v>
      </c>
      <c r="D32" s="51">
        <v>0.01</v>
      </c>
      <c r="E32" s="114" t="s">
        <v>430</v>
      </c>
      <c r="F32" s="55"/>
      <c r="G32" s="51">
        <v>0</v>
      </c>
      <c r="H32" s="51">
        <f t="shared" si="3"/>
        <v>0</v>
      </c>
      <c r="I32" s="52"/>
      <c r="J32" s="109"/>
      <c r="K32" s="131"/>
      <c r="M32" s="151"/>
      <c r="N32" s="151"/>
      <c r="O32" s="146"/>
    </row>
    <row r="33" spans="2:13" s="20" customFormat="1" ht="15.75" customHeight="1" thickBot="1" x14ac:dyDescent="0.3">
      <c r="B33" s="18"/>
      <c r="C33" s="27" t="s">
        <v>70</v>
      </c>
      <c r="D33" s="30">
        <f>SUM(D29:D32)</f>
        <v>0.1</v>
      </c>
      <c r="E33" s="778"/>
      <c r="F33" s="779"/>
      <c r="G33" s="780"/>
      <c r="H33" s="62">
        <f>SUM(H29:H32)</f>
        <v>0</v>
      </c>
      <c r="I33" s="40"/>
      <c r="J33" s="19"/>
      <c r="L33" s="67"/>
      <c r="M33" s="65"/>
    </row>
    <row r="34" spans="2:13" s="20" customFormat="1" ht="35.25" customHeight="1" thickBot="1" x14ac:dyDescent="0.3">
      <c r="B34" s="18"/>
      <c r="C34" s="36" t="s">
        <v>71</v>
      </c>
      <c r="D34" s="37">
        <f>D33+D26+D18+D10</f>
        <v>1</v>
      </c>
      <c r="E34" s="799"/>
      <c r="F34" s="799"/>
      <c r="G34" s="799"/>
      <c r="H34" s="799"/>
      <c r="I34" s="800"/>
      <c r="J34" s="19"/>
      <c r="L34" s="69"/>
      <c r="M34" s="66"/>
    </row>
    <row r="35" spans="2:13" s="20" customFormat="1" ht="24" customHeight="1" thickBot="1" x14ac:dyDescent="0.3">
      <c r="B35" s="18"/>
      <c r="C35" s="833" t="s">
        <v>72</v>
      </c>
      <c r="D35" s="834"/>
      <c r="E35" s="834"/>
      <c r="F35" s="835"/>
      <c r="G35" s="787">
        <f>H33+H26+H18+H10</f>
        <v>0</v>
      </c>
      <c r="H35" s="788"/>
      <c r="I35" s="789"/>
      <c r="J35" s="19"/>
      <c r="M35" s="67"/>
    </row>
    <row r="36" spans="2:13" ht="15" customHeight="1" thickBot="1" x14ac:dyDescent="0.5">
      <c r="B36" s="8"/>
      <c r="C36" s="9"/>
      <c r="D36" s="9"/>
      <c r="E36" s="10"/>
      <c r="F36" s="44"/>
      <c r="G36" s="11"/>
      <c r="H36" s="11"/>
      <c r="I36" s="12"/>
      <c r="J36" s="7"/>
      <c r="M36" s="68"/>
    </row>
  </sheetData>
  <mergeCells count="14">
    <mergeCell ref="C35:F35"/>
    <mergeCell ref="G35:I35"/>
    <mergeCell ref="C11:I11"/>
    <mergeCell ref="C3:E3"/>
    <mergeCell ref="F3:I3"/>
    <mergeCell ref="F4:I4"/>
    <mergeCell ref="C5:I5"/>
    <mergeCell ref="E10:G10"/>
    <mergeCell ref="E18:G18"/>
    <mergeCell ref="C19:I19"/>
    <mergeCell ref="E26:G26"/>
    <mergeCell ref="C27:I27"/>
    <mergeCell ref="E33:G33"/>
    <mergeCell ref="E34:I34"/>
  </mergeCells>
  <conditionalFormatting sqref="D34">
    <cfRule type="cellIs" dxfId="41" priority="1" stopIfTrue="1" operator="greaterThan">
      <formula>1</formula>
    </cfRule>
    <cfRule type="cellIs" dxfId="40" priority="2" stopIfTrue="1" operator="lessThan">
      <formula>1</formula>
    </cfRule>
  </conditionalFormatting>
  <conditionalFormatting sqref="H10">
    <cfRule type="expression" dxfId="39" priority="3" stopIfTrue="1">
      <formula>"if($H$14/$D$14)&lt;80"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F0F8-6D61-4B51-96E9-FAD5551D4662}">
  <sheetPr codeName="Sheet14"/>
  <dimension ref="B1:O40"/>
  <sheetViews>
    <sheetView topLeftCell="C1" zoomScale="80" zoomScaleNormal="80" workbookViewId="0">
      <selection activeCell="C15" sqref="C15"/>
    </sheetView>
  </sheetViews>
  <sheetFormatPr defaultColWidth="8.77734375" defaultRowHeight="13.2" x14ac:dyDescent="0.25"/>
  <cols>
    <col min="1" max="1" width="1.5546875" style="484" customWidth="1"/>
    <col min="2" max="2" width="2.77734375" style="484" customWidth="1"/>
    <col min="3" max="3" width="81.77734375" style="484" customWidth="1"/>
    <col min="4" max="4" width="13.44140625" style="484" customWidth="1"/>
    <col min="5" max="5" width="58.77734375" style="485" customWidth="1"/>
    <col min="6" max="6" width="23.5546875" style="42" customWidth="1"/>
    <col min="7" max="7" width="18.77734375" style="485" customWidth="1"/>
    <col min="8" max="8" width="17.5546875" style="485" customWidth="1"/>
    <col min="9" max="9" width="26.5546875" style="485" customWidth="1"/>
    <col min="10" max="10" width="2.5546875" style="484" customWidth="1"/>
    <col min="11" max="11" width="11.21875" style="486" bestFit="1" customWidth="1"/>
    <col min="12" max="12" width="11.21875" style="484" customWidth="1"/>
    <col min="13" max="13" width="11.77734375" style="484" customWidth="1"/>
    <col min="14" max="14" width="8.77734375" style="484"/>
    <col min="15" max="15" width="22.77734375" style="484" bestFit="1" customWidth="1"/>
    <col min="16" max="16384" width="8.77734375" style="484"/>
  </cols>
  <sheetData>
    <row r="1" spans="2:13" ht="13.8" thickBot="1" x14ac:dyDescent="0.3"/>
    <row r="2" spans="2:13" s="494" customFormat="1" ht="28.2" thickBot="1" x14ac:dyDescent="0.5">
      <c r="B2" s="487"/>
      <c r="C2" s="488"/>
      <c r="D2" s="488"/>
      <c r="E2" s="489"/>
      <c r="F2" s="490" t="s">
        <v>31</v>
      </c>
      <c r="G2" s="491"/>
      <c r="H2" s="491"/>
      <c r="I2" s="491"/>
      <c r="J2" s="492"/>
      <c r="K2" s="493"/>
    </row>
    <row r="3" spans="2:13" s="498" customFormat="1" ht="24.6" x14ac:dyDescent="0.4">
      <c r="B3" s="495"/>
      <c r="C3" s="836" t="s">
        <v>431</v>
      </c>
      <c r="D3" s="837"/>
      <c r="E3" s="838"/>
      <c r="F3" s="839" t="s">
        <v>33</v>
      </c>
      <c r="G3" s="840"/>
      <c r="H3" s="840"/>
      <c r="I3" s="841"/>
      <c r="J3" s="496"/>
      <c r="K3" s="497"/>
    </row>
    <row r="4" spans="2:13" s="498" customFormat="1" ht="25.2" thickBot="1" x14ac:dyDescent="0.45">
      <c r="B4" s="495"/>
      <c r="C4" s="499">
        <v>2024</v>
      </c>
      <c r="D4" s="500"/>
      <c r="E4" s="501"/>
      <c r="F4" s="842" t="s">
        <v>34</v>
      </c>
      <c r="G4" s="843"/>
      <c r="H4" s="843"/>
      <c r="I4" s="844"/>
      <c r="J4" s="496"/>
      <c r="K4" s="497"/>
    </row>
    <row r="5" spans="2:13" s="504" customFormat="1" ht="23.4" thickBot="1" x14ac:dyDescent="0.45">
      <c r="B5" s="502"/>
      <c r="C5" s="781" t="s">
        <v>35</v>
      </c>
      <c r="D5" s="782"/>
      <c r="E5" s="782"/>
      <c r="F5" s="782"/>
      <c r="G5" s="782"/>
      <c r="H5" s="782"/>
      <c r="I5" s="783"/>
      <c r="J5" s="496"/>
      <c r="K5" s="503"/>
    </row>
    <row r="6" spans="2:13" s="511" customFormat="1" ht="42" thickBot="1" x14ac:dyDescent="0.35">
      <c r="B6" s="505"/>
      <c r="C6" s="506" t="s">
        <v>36</v>
      </c>
      <c r="D6" s="507" t="s">
        <v>37</v>
      </c>
      <c r="E6" s="507" t="s">
        <v>38</v>
      </c>
      <c r="F6" s="507" t="s">
        <v>39</v>
      </c>
      <c r="G6" s="507" t="s">
        <v>40</v>
      </c>
      <c r="H6" s="507" t="s">
        <v>41</v>
      </c>
      <c r="I6" s="508" t="s">
        <v>42</v>
      </c>
      <c r="J6" s="509"/>
      <c r="K6" s="510"/>
    </row>
    <row r="7" spans="2:13" s="511" customFormat="1" ht="13.8" x14ac:dyDescent="0.3">
      <c r="B7" s="505"/>
      <c r="C7" s="512" t="s">
        <v>432</v>
      </c>
      <c r="D7" s="341">
        <v>0.2</v>
      </c>
      <c r="E7" s="153" t="s">
        <v>433</v>
      </c>
      <c r="F7" s="327"/>
      <c r="G7" s="79">
        <v>0</v>
      </c>
      <c r="H7" s="60">
        <f>G7*D7</f>
        <v>0</v>
      </c>
      <c r="I7" s="513" t="s">
        <v>434</v>
      </c>
      <c r="J7" s="509"/>
      <c r="K7" s="510"/>
    </row>
    <row r="8" spans="2:13" s="511" customFormat="1" ht="13.8" x14ac:dyDescent="0.3">
      <c r="B8" s="505"/>
      <c r="C8" s="514" t="s">
        <v>435</v>
      </c>
      <c r="D8" s="248">
        <v>0.1</v>
      </c>
      <c r="E8" s="153" t="s">
        <v>436</v>
      </c>
      <c r="F8" s="255"/>
      <c r="G8" s="79">
        <v>0</v>
      </c>
      <c r="H8" s="51">
        <f>G8*D8</f>
        <v>0</v>
      </c>
      <c r="I8" s="515"/>
      <c r="J8" s="509"/>
      <c r="K8" s="510"/>
    </row>
    <row r="9" spans="2:13" s="511" customFormat="1" ht="13.8" x14ac:dyDescent="0.3">
      <c r="B9" s="505"/>
      <c r="C9" s="514" t="s">
        <v>167</v>
      </c>
      <c r="D9" s="248">
        <v>0.05</v>
      </c>
      <c r="E9" s="153" t="s">
        <v>437</v>
      </c>
      <c r="F9" s="255"/>
      <c r="G9" s="79">
        <v>0</v>
      </c>
      <c r="H9" s="51">
        <v>0</v>
      </c>
      <c r="I9" s="515"/>
      <c r="J9" s="509"/>
      <c r="K9" s="510"/>
    </row>
    <row r="10" spans="2:13" s="511" customFormat="1" ht="13.8" x14ac:dyDescent="0.3">
      <c r="B10" s="505"/>
      <c r="C10" s="516" t="s">
        <v>438</v>
      </c>
      <c r="D10" s="248">
        <v>0.05</v>
      </c>
      <c r="E10" s="153" t="s">
        <v>439</v>
      </c>
      <c r="F10" s="255"/>
      <c r="G10" s="79">
        <v>0</v>
      </c>
      <c r="H10" s="51">
        <v>0</v>
      </c>
      <c r="I10" s="515"/>
      <c r="J10" s="509"/>
      <c r="K10" s="510"/>
    </row>
    <row r="11" spans="2:13" s="511" customFormat="1" ht="13.8" x14ac:dyDescent="0.3">
      <c r="B11" s="505"/>
      <c r="C11" s="516" t="s">
        <v>440</v>
      </c>
      <c r="D11" s="248">
        <v>0.05</v>
      </c>
      <c r="E11" s="153" t="s">
        <v>441</v>
      </c>
      <c r="F11" s="255"/>
      <c r="G11" s="79">
        <v>0</v>
      </c>
      <c r="H11" s="51">
        <v>0</v>
      </c>
      <c r="I11" s="515"/>
      <c r="J11" s="509"/>
      <c r="K11" s="510"/>
    </row>
    <row r="12" spans="2:13" s="511" customFormat="1" ht="14.4" thickBot="1" x14ac:dyDescent="0.35">
      <c r="B12" s="505"/>
      <c r="C12" s="517" t="s">
        <v>442</v>
      </c>
      <c r="D12" s="248">
        <v>0.05</v>
      </c>
      <c r="E12" s="153" t="s">
        <v>443</v>
      </c>
      <c r="F12" s="331"/>
      <c r="G12" s="79">
        <v>0</v>
      </c>
      <c r="H12" s="53">
        <f>G12*D12</f>
        <v>0</v>
      </c>
      <c r="I12" s="518"/>
      <c r="J12" s="509"/>
      <c r="K12" s="510"/>
    </row>
    <row r="13" spans="2:13" s="525" customFormat="1" ht="15" thickBot="1" x14ac:dyDescent="0.3">
      <c r="B13" s="519"/>
      <c r="C13" s="520" t="s">
        <v>49</v>
      </c>
      <c r="D13" s="521">
        <f>SUM(D7:D12)</f>
        <v>0.5</v>
      </c>
      <c r="E13" s="778"/>
      <c r="F13" s="779"/>
      <c r="G13" s="780"/>
      <c r="H13" s="82">
        <f>SUM(H7:H12)</f>
        <v>0</v>
      </c>
      <c r="I13" s="522"/>
      <c r="J13" s="523"/>
      <c r="K13" s="524" t="s">
        <v>252</v>
      </c>
      <c r="M13" s="526"/>
    </row>
    <row r="14" spans="2:13" s="504" customFormat="1" ht="16.2" thickBot="1" x14ac:dyDescent="0.35">
      <c r="B14" s="502"/>
      <c r="C14" s="781" t="s">
        <v>50</v>
      </c>
      <c r="D14" s="782"/>
      <c r="E14" s="782"/>
      <c r="F14" s="782"/>
      <c r="G14" s="782"/>
      <c r="H14" s="782"/>
      <c r="I14" s="783"/>
      <c r="J14" s="527"/>
      <c r="K14" s="503"/>
      <c r="L14" s="63"/>
      <c r="M14" s="528"/>
    </row>
    <row r="15" spans="2:13" s="511" customFormat="1" ht="42" thickBot="1" x14ac:dyDescent="0.35">
      <c r="B15" s="505"/>
      <c r="C15" s="529" t="s">
        <v>36</v>
      </c>
      <c r="D15" s="507" t="s">
        <v>37</v>
      </c>
      <c r="E15" s="508" t="s">
        <v>38</v>
      </c>
      <c r="F15" s="507" t="s">
        <v>39</v>
      </c>
      <c r="G15" s="507" t="s">
        <v>40</v>
      </c>
      <c r="H15" s="507" t="s">
        <v>41</v>
      </c>
      <c r="I15" s="508" t="s">
        <v>42</v>
      </c>
      <c r="J15" s="509"/>
      <c r="K15" s="510"/>
    </row>
    <row r="16" spans="2:13" s="511" customFormat="1" ht="79.2" x14ac:dyDescent="0.3">
      <c r="B16" s="530"/>
      <c r="C16" s="531" t="s">
        <v>444</v>
      </c>
      <c r="D16" s="248">
        <v>0.04</v>
      </c>
      <c r="E16" s="253" t="s">
        <v>445</v>
      </c>
      <c r="F16" s="327"/>
      <c r="G16" s="51">
        <v>0</v>
      </c>
      <c r="H16" s="72">
        <f>G16*D16</f>
        <v>0</v>
      </c>
      <c r="I16" s="78" t="s">
        <v>446</v>
      </c>
      <c r="J16" s="532"/>
      <c r="K16" s="510"/>
      <c r="L16" s="533"/>
      <c r="M16" s="533"/>
    </row>
    <row r="17" spans="2:15" s="511" customFormat="1" ht="39.6" x14ac:dyDescent="0.3">
      <c r="B17" s="530"/>
      <c r="C17" s="534" t="s">
        <v>447</v>
      </c>
      <c r="D17" s="248">
        <v>0.04</v>
      </c>
      <c r="E17" s="253" t="s">
        <v>448</v>
      </c>
      <c r="F17" s="255"/>
      <c r="G17" s="51">
        <v>0</v>
      </c>
      <c r="H17" s="72">
        <f>G17*D17</f>
        <v>0</v>
      </c>
      <c r="I17" s="78" t="s">
        <v>252</v>
      </c>
      <c r="J17" s="532"/>
      <c r="K17" s="510"/>
      <c r="L17" s="533"/>
      <c r="M17" s="533"/>
    </row>
    <row r="18" spans="2:15" s="511" customFormat="1" ht="66" x14ac:dyDescent="0.3">
      <c r="B18" s="530"/>
      <c r="C18" s="534" t="s">
        <v>449</v>
      </c>
      <c r="D18" s="248">
        <v>0.04</v>
      </c>
      <c r="E18" s="253" t="s">
        <v>450</v>
      </c>
      <c r="F18" s="255"/>
      <c r="G18" s="51">
        <v>0</v>
      </c>
      <c r="H18" s="72">
        <f>G18*D18</f>
        <v>0</v>
      </c>
      <c r="I18" s="78" t="s">
        <v>252</v>
      </c>
      <c r="J18" s="532"/>
      <c r="K18" s="510"/>
      <c r="L18" s="533"/>
      <c r="M18" s="533"/>
    </row>
    <row r="19" spans="2:15" s="511" customFormat="1" ht="39.6" x14ac:dyDescent="0.3">
      <c r="B19" s="530"/>
      <c r="C19" s="534" t="s">
        <v>451</v>
      </c>
      <c r="D19" s="248">
        <v>0.04</v>
      </c>
      <c r="E19" s="253" t="s">
        <v>452</v>
      </c>
      <c r="F19" s="255"/>
      <c r="G19" s="51">
        <v>0</v>
      </c>
      <c r="H19" s="72">
        <f>G19*D19</f>
        <v>0</v>
      </c>
      <c r="I19" s="78" t="s">
        <v>252</v>
      </c>
      <c r="J19" s="532"/>
      <c r="K19" s="510"/>
      <c r="L19" s="533"/>
      <c r="M19" s="533"/>
    </row>
    <row r="20" spans="2:15" s="511" customFormat="1" ht="40.200000000000003" thickBot="1" x14ac:dyDescent="0.35">
      <c r="B20" s="530"/>
      <c r="C20" s="535" t="s">
        <v>453</v>
      </c>
      <c r="D20" s="248">
        <v>0.04</v>
      </c>
      <c r="E20" s="253" t="s">
        <v>454</v>
      </c>
      <c r="F20" s="331"/>
      <c r="G20" s="51">
        <v>0</v>
      </c>
      <c r="H20" s="72">
        <f>G20*D20</f>
        <v>0</v>
      </c>
      <c r="I20" s="78" t="s">
        <v>252</v>
      </c>
      <c r="J20" s="532"/>
      <c r="K20" s="510"/>
      <c r="L20" s="533"/>
      <c r="M20" s="533"/>
    </row>
    <row r="21" spans="2:15" s="543" customFormat="1" ht="15" thickBot="1" x14ac:dyDescent="0.35">
      <c r="B21" s="536"/>
      <c r="C21" s="537" t="s">
        <v>55</v>
      </c>
      <c r="D21" s="538">
        <f>SUM(D16:D20)</f>
        <v>0.2</v>
      </c>
      <c r="E21" s="779"/>
      <c r="F21" s="779"/>
      <c r="G21" s="779"/>
      <c r="H21" s="539">
        <f>SUM(H16:H20)</f>
        <v>0</v>
      </c>
      <c r="I21" s="522"/>
      <c r="J21" s="540"/>
      <c r="K21" s="541" t="s">
        <v>252</v>
      </c>
      <c r="L21" s="511"/>
      <c r="M21" s="542"/>
      <c r="N21" s="511"/>
    </row>
    <row r="22" spans="2:15" s="504" customFormat="1" ht="16.2" thickBot="1" x14ac:dyDescent="0.35">
      <c r="B22" s="502"/>
      <c r="C22" s="784" t="s">
        <v>56</v>
      </c>
      <c r="D22" s="785"/>
      <c r="E22" s="785"/>
      <c r="F22" s="785"/>
      <c r="G22" s="785"/>
      <c r="H22" s="785"/>
      <c r="I22" s="786"/>
      <c r="J22" s="527"/>
      <c r="K22" s="503"/>
      <c r="L22" s="484"/>
      <c r="M22" s="484"/>
      <c r="N22" s="484"/>
    </row>
    <row r="23" spans="2:15" s="511" customFormat="1" ht="27" thickBot="1" x14ac:dyDescent="0.35">
      <c r="B23" s="505"/>
      <c r="C23" s="544" t="s">
        <v>36</v>
      </c>
      <c r="D23" s="545" t="s">
        <v>37</v>
      </c>
      <c r="E23" s="546" t="s">
        <v>38</v>
      </c>
      <c r="F23" s="545" t="s">
        <v>39</v>
      </c>
      <c r="G23" s="545" t="s">
        <v>40</v>
      </c>
      <c r="H23" s="545" t="s">
        <v>41</v>
      </c>
      <c r="I23" s="546" t="s">
        <v>42</v>
      </c>
      <c r="J23" s="509"/>
      <c r="K23" s="510"/>
      <c r="L23" s="543"/>
      <c r="M23" s="543"/>
      <c r="N23" s="543"/>
    </row>
    <row r="24" spans="2:15" s="552" customFormat="1" ht="26.4" x14ac:dyDescent="0.3">
      <c r="B24" s="547"/>
      <c r="C24" s="548" t="s">
        <v>183</v>
      </c>
      <c r="D24" s="51">
        <v>0.05</v>
      </c>
      <c r="E24" s="549" t="s">
        <v>184</v>
      </c>
      <c r="F24" s="147"/>
      <c r="G24" s="51">
        <v>0</v>
      </c>
      <c r="H24" s="51">
        <v>0</v>
      </c>
      <c r="I24" s="81"/>
      <c r="J24" s="550"/>
      <c r="K24" s="551"/>
      <c r="L24" s="543"/>
      <c r="M24" s="543"/>
      <c r="N24" s="543"/>
    </row>
    <row r="25" spans="2:15" s="552" customFormat="1" ht="26.4" x14ac:dyDescent="0.3">
      <c r="B25" s="547"/>
      <c r="C25" s="548" t="s">
        <v>185</v>
      </c>
      <c r="D25" s="51">
        <v>0.05</v>
      </c>
      <c r="E25" s="312" t="s">
        <v>186</v>
      </c>
      <c r="F25" s="78" t="s">
        <v>252</v>
      </c>
      <c r="G25" s="51">
        <v>0</v>
      </c>
      <c r="H25" s="51">
        <v>0</v>
      </c>
      <c r="I25" s="81"/>
      <c r="J25" s="550"/>
      <c r="K25" s="551"/>
    </row>
    <row r="26" spans="2:15" s="552" customFormat="1" ht="26.4" x14ac:dyDescent="0.3">
      <c r="B26" s="547"/>
      <c r="C26" s="553" t="s">
        <v>455</v>
      </c>
      <c r="D26" s="51">
        <v>0.05</v>
      </c>
      <c r="E26" s="312" t="s">
        <v>456</v>
      </c>
      <c r="F26" s="78"/>
      <c r="G26" s="51">
        <v>0</v>
      </c>
      <c r="H26" s="51">
        <v>0</v>
      </c>
      <c r="I26" s="81"/>
      <c r="J26" s="550"/>
      <c r="K26" s="551"/>
      <c r="L26" s="543"/>
      <c r="M26" s="543"/>
      <c r="N26" s="543"/>
    </row>
    <row r="27" spans="2:15" s="552" customFormat="1" ht="40.200000000000003" thickBot="1" x14ac:dyDescent="0.35">
      <c r="B27" s="547"/>
      <c r="C27" s="553" t="s">
        <v>457</v>
      </c>
      <c r="D27" s="51">
        <v>0.05</v>
      </c>
      <c r="E27" s="312" t="s">
        <v>458</v>
      </c>
      <c r="F27" s="251"/>
      <c r="G27" s="51">
        <v>0</v>
      </c>
      <c r="H27" s="51">
        <v>0</v>
      </c>
      <c r="I27" s="81"/>
      <c r="J27" s="550"/>
      <c r="K27" s="551"/>
      <c r="L27" s="543"/>
      <c r="M27" s="543"/>
      <c r="N27" s="543"/>
    </row>
    <row r="28" spans="2:15" s="543" customFormat="1" ht="15" thickBot="1" x14ac:dyDescent="0.35">
      <c r="B28" s="536"/>
      <c r="C28" s="554" t="s">
        <v>63</v>
      </c>
      <c r="D28" s="538">
        <f>SUM(D24:D27)</f>
        <v>0.2</v>
      </c>
      <c r="E28" s="848"/>
      <c r="F28" s="848"/>
      <c r="G28" s="848"/>
      <c r="H28" s="555">
        <f>SUM(H24:H27)</f>
        <v>0</v>
      </c>
      <c r="I28" s="522"/>
      <c r="J28" s="540"/>
      <c r="K28" s="541" t="s">
        <v>252</v>
      </c>
    </row>
    <row r="29" spans="2:15" s="504" customFormat="1" ht="16.2" thickBot="1" x14ac:dyDescent="0.35">
      <c r="B29" s="502"/>
      <c r="C29" s="781" t="s">
        <v>64</v>
      </c>
      <c r="D29" s="782"/>
      <c r="E29" s="782"/>
      <c r="F29" s="782"/>
      <c r="G29" s="782"/>
      <c r="H29" s="782"/>
      <c r="I29" s="786"/>
      <c r="J29" s="527"/>
      <c r="K29" s="503"/>
    </row>
    <row r="30" spans="2:15" ht="42" thickBot="1" x14ac:dyDescent="0.3">
      <c r="B30" s="556"/>
      <c r="C30" s="557" t="s">
        <v>36</v>
      </c>
      <c r="D30" s="507" t="s">
        <v>37</v>
      </c>
      <c r="E30" s="508" t="s">
        <v>38</v>
      </c>
      <c r="F30" s="507" t="s">
        <v>39</v>
      </c>
      <c r="G30" s="507" t="s">
        <v>40</v>
      </c>
      <c r="H30" s="507" t="s">
        <v>41</v>
      </c>
      <c r="I30" s="558" t="s">
        <v>42</v>
      </c>
      <c r="J30" s="559"/>
      <c r="L30" s="151"/>
    </row>
    <row r="31" spans="2:15" ht="26.4" x14ac:dyDescent="0.25">
      <c r="B31" s="556"/>
      <c r="C31" s="548" t="s">
        <v>459</v>
      </c>
      <c r="D31" s="51">
        <v>0.04</v>
      </c>
      <c r="E31" s="560" t="s">
        <v>460</v>
      </c>
      <c r="F31" s="147" t="s">
        <v>252</v>
      </c>
      <c r="G31" s="51">
        <v>0</v>
      </c>
      <c r="H31" s="60">
        <v>0</v>
      </c>
      <c r="I31" s="518" t="s">
        <v>252</v>
      </c>
      <c r="J31" s="559"/>
      <c r="M31" s="151"/>
      <c r="N31" s="151"/>
      <c r="O31" s="146"/>
    </row>
    <row r="32" spans="2:15" x14ac:dyDescent="0.25">
      <c r="B32" s="556"/>
      <c r="C32" s="553" t="s">
        <v>461</v>
      </c>
      <c r="D32" s="51">
        <v>0.03</v>
      </c>
      <c r="E32" s="560" t="s">
        <v>462</v>
      </c>
      <c r="F32" s="78" t="s">
        <v>252</v>
      </c>
      <c r="G32" s="79">
        <v>0</v>
      </c>
      <c r="H32" s="126">
        <v>0</v>
      </c>
      <c r="I32" s="515" t="s">
        <v>463</v>
      </c>
      <c r="J32" s="559"/>
      <c r="M32" s="151"/>
      <c r="N32" s="151"/>
      <c r="O32" s="146"/>
    </row>
    <row r="33" spans="2:13" ht="53.4" thickBot="1" x14ac:dyDescent="0.3">
      <c r="B33" s="556"/>
      <c r="C33" s="553" t="s">
        <v>464</v>
      </c>
      <c r="D33" s="51">
        <v>0.03</v>
      </c>
      <c r="E33" s="560" t="s">
        <v>465</v>
      </c>
      <c r="F33" s="251" t="s">
        <v>252</v>
      </c>
      <c r="G33" s="79">
        <v>0</v>
      </c>
      <c r="H33" s="51">
        <v>0</v>
      </c>
      <c r="I33" s="518" t="s">
        <v>252</v>
      </c>
      <c r="J33" s="559"/>
    </row>
    <row r="34" spans="2:13" s="567" customFormat="1" ht="14.4" thickBot="1" x14ac:dyDescent="0.3">
      <c r="B34" s="561"/>
      <c r="C34" s="554" t="s">
        <v>70</v>
      </c>
      <c r="D34" s="538">
        <f>SUM(D31:D33)</f>
        <v>0.1</v>
      </c>
      <c r="E34" s="849"/>
      <c r="F34" s="848"/>
      <c r="G34" s="850"/>
      <c r="H34" s="539">
        <f>SUM(H31:H33)</f>
        <v>0</v>
      </c>
      <c r="I34" s="562"/>
      <c r="J34" s="563"/>
      <c r="K34" s="564" t="s">
        <v>252</v>
      </c>
      <c r="L34" s="565"/>
      <c r="M34" s="566"/>
    </row>
    <row r="35" spans="2:13" s="567" customFormat="1" ht="14.4" thickBot="1" x14ac:dyDescent="0.3">
      <c r="B35" s="561"/>
      <c r="C35" s="568" t="s">
        <v>71</v>
      </c>
      <c r="D35" s="569">
        <f>D34+D28+D21+D13</f>
        <v>1</v>
      </c>
      <c r="E35" s="851"/>
      <c r="F35" s="851"/>
      <c r="G35" s="851"/>
      <c r="H35" s="851"/>
      <c r="I35" s="852"/>
      <c r="J35" s="570"/>
      <c r="K35" s="571" t="s">
        <v>252</v>
      </c>
      <c r="L35" s="572"/>
      <c r="M35" s="573"/>
    </row>
    <row r="36" spans="2:13" s="567" customFormat="1" ht="14.4" thickBot="1" x14ac:dyDescent="0.3">
      <c r="B36" s="561"/>
      <c r="C36" s="845" t="s">
        <v>72</v>
      </c>
      <c r="D36" s="846"/>
      <c r="E36" s="846"/>
      <c r="F36" s="847"/>
      <c r="G36" s="787">
        <f>H34+H28+H21+H13</f>
        <v>0</v>
      </c>
      <c r="H36" s="788"/>
      <c r="I36" s="789"/>
      <c r="J36" s="563"/>
      <c r="K36" s="564"/>
      <c r="M36" s="565"/>
    </row>
    <row r="37" spans="2:13" ht="28.2" thickBot="1" x14ac:dyDescent="0.5">
      <c r="B37" s="574"/>
      <c r="C37" s="575"/>
      <c r="D37" s="575"/>
      <c r="E37" s="576"/>
      <c r="F37" s="44"/>
      <c r="G37" s="577"/>
      <c r="H37" s="577"/>
      <c r="I37" s="578"/>
      <c r="J37" s="579"/>
      <c r="M37" s="580"/>
    </row>
    <row r="40" spans="2:13" x14ac:dyDescent="0.25">
      <c r="E40" s="485" t="s">
        <v>252</v>
      </c>
    </row>
  </sheetData>
  <mergeCells count="14">
    <mergeCell ref="C36:F36"/>
    <mergeCell ref="G36:I36"/>
    <mergeCell ref="E21:G21"/>
    <mergeCell ref="C22:I22"/>
    <mergeCell ref="E28:G28"/>
    <mergeCell ref="C29:I29"/>
    <mergeCell ref="E34:G34"/>
    <mergeCell ref="E35:I35"/>
    <mergeCell ref="C14:I14"/>
    <mergeCell ref="C3:E3"/>
    <mergeCell ref="F3:I3"/>
    <mergeCell ref="F4:I4"/>
    <mergeCell ref="C5:I5"/>
    <mergeCell ref="E13:G13"/>
  </mergeCells>
  <conditionalFormatting sqref="D35">
    <cfRule type="cellIs" dxfId="38" priority="1" stopIfTrue="1" operator="greaterThan">
      <formula>1</formula>
    </cfRule>
    <cfRule type="cellIs" dxfId="37" priority="2" stopIfTrue="1" operator="lessThan">
      <formula>1</formula>
    </cfRule>
  </conditionalFormatting>
  <conditionalFormatting sqref="H13">
    <cfRule type="expression" dxfId="36" priority="3" stopIfTrue="1">
      <formula>"if($H$14/$D$14)&lt;80"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D752-6457-40BD-8A4E-DCD6F5CD6037}">
  <sheetPr codeName="Sheet15"/>
  <dimension ref="B1:O39"/>
  <sheetViews>
    <sheetView zoomScale="80" zoomScaleNormal="80" workbookViewId="0">
      <selection activeCell="C32" sqref="C32"/>
    </sheetView>
  </sheetViews>
  <sheetFormatPr defaultColWidth="8.77734375" defaultRowHeight="13.2" x14ac:dyDescent="0.25"/>
  <cols>
    <col min="1" max="1" width="1.5546875" style="484" customWidth="1"/>
    <col min="2" max="2" width="2.77734375" style="484" customWidth="1"/>
    <col min="3" max="3" width="72.21875" style="484" customWidth="1"/>
    <col min="4" max="4" width="17.21875" style="484" customWidth="1"/>
    <col min="5" max="5" width="67.44140625" style="485" customWidth="1"/>
    <col min="6" max="6" width="23" style="627" customWidth="1"/>
    <col min="7" max="7" width="17.44140625" style="485" customWidth="1"/>
    <col min="8" max="8" width="17.77734375" style="485" customWidth="1"/>
    <col min="9" max="9" width="34.44140625" style="485" customWidth="1"/>
    <col min="10" max="10" width="2.5546875" style="484" customWidth="1"/>
    <col min="11" max="11" width="11.21875" style="484" bestFit="1" customWidth="1"/>
    <col min="12" max="12" width="11.21875" style="484" customWidth="1"/>
    <col min="13" max="13" width="11.77734375" style="484" customWidth="1"/>
    <col min="14" max="14" width="8.77734375" style="484"/>
    <col min="15" max="15" width="22.77734375" style="484" bestFit="1" customWidth="1"/>
    <col min="16" max="16384" width="8.77734375" style="484"/>
  </cols>
  <sheetData>
    <row r="1" spans="2:13" ht="13.8" thickBot="1" x14ac:dyDescent="0.3"/>
    <row r="2" spans="2:13" s="494" customFormat="1" ht="28.2" thickBot="1" x14ac:dyDescent="0.5">
      <c r="B2" s="487"/>
      <c r="C2" s="488"/>
      <c r="D2" s="488"/>
      <c r="E2" s="489"/>
      <c r="F2" s="490" t="s">
        <v>31</v>
      </c>
      <c r="G2" s="491"/>
      <c r="H2" s="491"/>
      <c r="I2" s="491"/>
      <c r="J2" s="492"/>
    </row>
    <row r="3" spans="2:13" s="498" customFormat="1" ht="24.6" x14ac:dyDescent="0.4">
      <c r="B3" s="495"/>
      <c r="C3" s="836" t="s">
        <v>466</v>
      </c>
      <c r="D3" s="837"/>
      <c r="E3" s="838"/>
      <c r="F3" s="839" t="s">
        <v>33</v>
      </c>
      <c r="G3" s="840"/>
      <c r="H3" s="840"/>
      <c r="I3" s="841"/>
      <c r="J3" s="496"/>
    </row>
    <row r="4" spans="2:13" s="498" customFormat="1" ht="25.2" thickBot="1" x14ac:dyDescent="0.45">
      <c r="B4" s="495"/>
      <c r="C4" s="499">
        <v>2024</v>
      </c>
      <c r="D4" s="500"/>
      <c r="E4" s="501"/>
      <c r="F4" s="842" t="s">
        <v>34</v>
      </c>
      <c r="G4" s="843"/>
      <c r="H4" s="843"/>
      <c r="I4" s="844"/>
      <c r="J4" s="496"/>
      <c r="K4" s="581"/>
    </row>
    <row r="5" spans="2:13" s="504" customFormat="1" ht="23.4" thickBot="1" x14ac:dyDescent="0.45">
      <c r="B5" s="502"/>
      <c r="C5" s="861" t="s">
        <v>35</v>
      </c>
      <c r="D5" s="862"/>
      <c r="E5" s="862"/>
      <c r="F5" s="862"/>
      <c r="G5" s="862"/>
      <c r="H5" s="862"/>
      <c r="I5" s="863"/>
      <c r="J5" s="496"/>
    </row>
    <row r="6" spans="2:13" ht="42" thickBot="1" x14ac:dyDescent="0.3">
      <c r="B6" s="556"/>
      <c r="C6" s="506" t="s">
        <v>36</v>
      </c>
      <c r="D6" s="507" t="s">
        <v>37</v>
      </c>
      <c r="E6" s="507" t="s">
        <v>38</v>
      </c>
      <c r="F6" s="507" t="s">
        <v>39</v>
      </c>
      <c r="G6" s="507" t="s">
        <v>40</v>
      </c>
      <c r="H6" s="507" t="s">
        <v>41</v>
      </c>
      <c r="I6" s="508" t="s">
        <v>42</v>
      </c>
      <c r="J6" s="559"/>
    </row>
    <row r="7" spans="2:13" x14ac:dyDescent="0.25">
      <c r="B7" s="556"/>
      <c r="C7" s="582" t="s">
        <v>467</v>
      </c>
      <c r="D7" s="264">
        <v>0.2</v>
      </c>
      <c r="E7" s="583" t="s">
        <v>468</v>
      </c>
      <c r="F7" s="628"/>
      <c r="G7" s="629">
        <v>0</v>
      </c>
      <c r="H7" s="263">
        <f t="shared" ref="H7:H12" si="0">G7*D7</f>
        <v>0</v>
      </c>
      <c r="I7" s="513" t="s">
        <v>469</v>
      </c>
      <c r="J7" s="559"/>
    </row>
    <row r="8" spans="2:13" x14ac:dyDescent="0.25">
      <c r="B8" s="556"/>
      <c r="C8" s="584" t="s">
        <v>470</v>
      </c>
      <c r="D8" s="264">
        <v>0.1</v>
      </c>
      <c r="E8" s="585" t="s">
        <v>471</v>
      </c>
      <c r="F8" s="630"/>
      <c r="G8" s="629">
        <v>0</v>
      </c>
      <c r="H8" s="264">
        <f t="shared" si="0"/>
        <v>0</v>
      </c>
      <c r="I8" s="518"/>
      <c r="J8" s="559"/>
    </row>
    <row r="9" spans="2:13" ht="26.4" x14ac:dyDescent="0.25">
      <c r="B9" s="556"/>
      <c r="C9" s="584" t="s">
        <v>472</v>
      </c>
      <c r="D9" s="264">
        <v>0.05</v>
      </c>
      <c r="E9" s="587" t="s">
        <v>473</v>
      </c>
      <c r="F9" s="631"/>
      <c r="G9" s="629">
        <v>0</v>
      </c>
      <c r="H9" s="264">
        <f t="shared" si="0"/>
        <v>0</v>
      </c>
      <c r="I9" s="518"/>
      <c r="J9" s="559"/>
    </row>
    <row r="10" spans="2:13" x14ac:dyDescent="0.25">
      <c r="B10" s="556"/>
      <c r="C10" s="584" t="s">
        <v>474</v>
      </c>
      <c r="D10" s="264">
        <v>0.05</v>
      </c>
      <c r="E10" s="588" t="s">
        <v>475</v>
      </c>
      <c r="F10" s="631"/>
      <c r="G10" s="629">
        <v>0</v>
      </c>
      <c r="H10" s="264">
        <f t="shared" si="0"/>
        <v>0</v>
      </c>
      <c r="I10" s="518"/>
      <c r="J10" s="559"/>
    </row>
    <row r="11" spans="2:13" x14ac:dyDescent="0.25">
      <c r="B11" s="556"/>
      <c r="C11" s="584" t="s">
        <v>476</v>
      </c>
      <c r="D11" s="264">
        <v>0.05</v>
      </c>
      <c r="E11" s="589">
        <v>0.61199999999999999</v>
      </c>
      <c r="F11" s="631"/>
      <c r="G11" s="629">
        <v>0</v>
      </c>
      <c r="H11" s="264">
        <f t="shared" si="0"/>
        <v>0</v>
      </c>
      <c r="I11" s="518"/>
      <c r="J11" s="559"/>
    </row>
    <row r="12" spans="2:13" ht="13.8" thickBot="1" x14ac:dyDescent="0.3">
      <c r="B12" s="556"/>
      <c r="C12" s="590" t="s">
        <v>477</v>
      </c>
      <c r="D12" s="264">
        <v>0.05</v>
      </c>
      <c r="E12" s="585" t="s">
        <v>478</v>
      </c>
      <c r="F12" s="632"/>
      <c r="G12" s="629">
        <v>0</v>
      </c>
      <c r="H12" s="265">
        <f t="shared" si="0"/>
        <v>0</v>
      </c>
      <c r="I12" s="518"/>
      <c r="J12" s="559"/>
    </row>
    <row r="13" spans="2:13" s="596" customFormat="1" ht="14.4" thickBot="1" x14ac:dyDescent="0.3">
      <c r="B13" s="591"/>
      <c r="C13" s="592" t="s">
        <v>49</v>
      </c>
      <c r="D13" s="593">
        <f>SUM(D7:D12)</f>
        <v>0.5</v>
      </c>
      <c r="E13" s="853"/>
      <c r="F13" s="854"/>
      <c r="G13" s="855"/>
      <c r="H13" s="221">
        <f>SUM(H7:H12)</f>
        <v>0</v>
      </c>
      <c r="I13" s="522"/>
      <c r="J13" s="595"/>
      <c r="L13" s="597"/>
      <c r="M13" s="598"/>
    </row>
    <row r="14" spans="2:13" s="504" customFormat="1" ht="16.2" thickBot="1" x14ac:dyDescent="0.35">
      <c r="B14" s="502"/>
      <c r="C14" s="861" t="s">
        <v>50</v>
      </c>
      <c r="D14" s="862"/>
      <c r="E14" s="862"/>
      <c r="F14" s="862"/>
      <c r="G14" s="862"/>
      <c r="H14" s="862"/>
      <c r="I14" s="863"/>
      <c r="J14" s="527"/>
      <c r="L14" s="599"/>
      <c r="M14" s="528"/>
    </row>
    <row r="15" spans="2:13" ht="42" thickBot="1" x14ac:dyDescent="0.3">
      <c r="B15" s="556"/>
      <c r="C15" s="506" t="s">
        <v>36</v>
      </c>
      <c r="D15" s="507" t="s">
        <v>37</v>
      </c>
      <c r="E15" s="508" t="s">
        <v>38</v>
      </c>
      <c r="F15" s="507" t="s">
        <v>39</v>
      </c>
      <c r="G15" s="507" t="s">
        <v>40</v>
      </c>
      <c r="H15" s="507" t="s">
        <v>41</v>
      </c>
      <c r="I15" s="508" t="s">
        <v>42</v>
      </c>
      <c r="J15" s="559"/>
    </row>
    <row r="16" spans="2:13" ht="66" x14ac:dyDescent="0.25">
      <c r="B16" s="600"/>
      <c r="C16" s="601" t="s">
        <v>479</v>
      </c>
      <c r="D16" s="602">
        <v>0.05</v>
      </c>
      <c r="E16" s="633" t="s">
        <v>480</v>
      </c>
      <c r="F16" s="628"/>
      <c r="G16" s="264">
        <v>0</v>
      </c>
      <c r="H16" s="634">
        <f>G16*D16</f>
        <v>0</v>
      </c>
      <c r="I16" s="603" t="s">
        <v>481</v>
      </c>
      <c r="J16" s="604"/>
      <c r="L16" s="597"/>
      <c r="M16" s="597"/>
    </row>
    <row r="17" spans="2:15" ht="39.6" x14ac:dyDescent="0.25">
      <c r="B17" s="600"/>
      <c r="C17" s="534" t="s">
        <v>482</v>
      </c>
      <c r="D17" s="264">
        <v>0.05</v>
      </c>
      <c r="E17" s="610" t="s">
        <v>483</v>
      </c>
      <c r="F17" s="630"/>
      <c r="G17" s="264">
        <v>0</v>
      </c>
      <c r="H17" s="634">
        <f>G17*D17</f>
        <v>0</v>
      </c>
      <c r="I17" s="605" t="s">
        <v>484</v>
      </c>
      <c r="J17" s="604"/>
      <c r="L17" s="597"/>
      <c r="M17" s="597"/>
    </row>
    <row r="18" spans="2:15" ht="26.4" x14ac:dyDescent="0.25">
      <c r="B18" s="600"/>
      <c r="C18" s="534" t="s">
        <v>485</v>
      </c>
      <c r="D18" s="606">
        <v>0.05</v>
      </c>
      <c r="E18" s="610" t="s">
        <v>486</v>
      </c>
      <c r="F18" s="631"/>
      <c r="G18" s="264">
        <v>0</v>
      </c>
      <c r="H18" s="635">
        <f>G18*D18</f>
        <v>0</v>
      </c>
      <c r="I18" s="605"/>
      <c r="J18" s="604"/>
      <c r="L18" s="597"/>
      <c r="M18" s="597"/>
    </row>
    <row r="19" spans="2:15" ht="27" thickBot="1" x14ac:dyDescent="0.3">
      <c r="B19" s="600"/>
      <c r="C19" s="534" t="s">
        <v>487</v>
      </c>
      <c r="D19" s="607">
        <v>0.05</v>
      </c>
      <c r="E19" s="636">
        <v>0.9</v>
      </c>
      <c r="F19" s="637"/>
      <c r="G19" s="264">
        <v>0</v>
      </c>
      <c r="H19" s="635">
        <f>G19*D19</f>
        <v>0</v>
      </c>
      <c r="I19" s="608" t="s">
        <v>488</v>
      </c>
      <c r="J19" s="604"/>
      <c r="L19" s="597"/>
      <c r="M19" s="597"/>
    </row>
    <row r="20" spans="2:15" s="567" customFormat="1" ht="14.4" thickBot="1" x14ac:dyDescent="0.3">
      <c r="B20" s="561"/>
      <c r="C20" s="592" t="s">
        <v>55</v>
      </c>
      <c r="D20" s="593">
        <f>SUM(D16:D19)</f>
        <v>0.2</v>
      </c>
      <c r="E20" s="854"/>
      <c r="F20" s="854"/>
      <c r="G20" s="854"/>
      <c r="H20" s="638">
        <f>SUM(H16:H18)</f>
        <v>0</v>
      </c>
      <c r="I20" s="522"/>
      <c r="J20" s="563"/>
      <c r="L20" s="484"/>
      <c r="M20" s="609"/>
      <c r="N20" s="484"/>
    </row>
    <row r="21" spans="2:15" s="504" customFormat="1" ht="16.2" thickBot="1" x14ac:dyDescent="0.35">
      <c r="B21" s="502"/>
      <c r="C21" s="864" t="s">
        <v>56</v>
      </c>
      <c r="D21" s="865"/>
      <c r="E21" s="865"/>
      <c r="F21" s="865"/>
      <c r="G21" s="865"/>
      <c r="H21" s="865"/>
      <c r="I21" s="866"/>
      <c r="J21" s="527"/>
      <c r="L21" s="484"/>
      <c r="M21" s="484"/>
      <c r="N21" s="484"/>
    </row>
    <row r="22" spans="2:15" ht="42" thickBot="1" x14ac:dyDescent="0.3">
      <c r="B22" s="556"/>
      <c r="C22" s="506" t="s">
        <v>36</v>
      </c>
      <c r="D22" s="507" t="s">
        <v>37</v>
      </c>
      <c r="E22" s="508" t="s">
        <v>38</v>
      </c>
      <c r="F22" s="507" t="s">
        <v>39</v>
      </c>
      <c r="G22" s="507" t="s">
        <v>40</v>
      </c>
      <c r="H22" s="507" t="s">
        <v>41</v>
      </c>
      <c r="I22" s="508" t="s">
        <v>42</v>
      </c>
      <c r="J22" s="559"/>
      <c r="L22" s="567"/>
      <c r="M22" s="567"/>
      <c r="N22" s="567"/>
    </row>
    <row r="23" spans="2:15" ht="26.4" x14ac:dyDescent="0.3">
      <c r="B23" s="600"/>
      <c r="C23" s="553" t="s">
        <v>489</v>
      </c>
      <c r="D23" s="263">
        <v>0.05</v>
      </c>
      <c r="E23" s="610" t="s">
        <v>490</v>
      </c>
      <c r="F23" s="603"/>
      <c r="G23" s="264">
        <v>0</v>
      </c>
      <c r="H23" s="263">
        <f t="shared" ref="H23:H28" si="1">G23*D23</f>
        <v>0</v>
      </c>
      <c r="I23" s="639"/>
      <c r="J23" s="604"/>
      <c r="L23" s="504"/>
      <c r="M23" s="504"/>
      <c r="N23" s="504"/>
    </row>
    <row r="24" spans="2:15" ht="15.6" x14ac:dyDescent="0.3">
      <c r="B24" s="600"/>
      <c r="C24" s="553" t="s">
        <v>491</v>
      </c>
      <c r="D24" s="607">
        <v>0.05</v>
      </c>
      <c r="E24" s="610" t="s">
        <v>492</v>
      </c>
      <c r="F24" s="605"/>
      <c r="G24" s="264">
        <v>0</v>
      </c>
      <c r="H24" s="264">
        <f t="shared" si="1"/>
        <v>0</v>
      </c>
      <c r="I24" s="640"/>
      <c r="J24" s="604"/>
      <c r="L24" s="504"/>
      <c r="M24" s="504"/>
      <c r="N24" s="504"/>
    </row>
    <row r="25" spans="2:15" x14ac:dyDescent="0.25">
      <c r="B25" s="600"/>
      <c r="C25" s="548" t="s">
        <v>493</v>
      </c>
      <c r="D25" s="867">
        <v>0.05</v>
      </c>
      <c r="E25" s="612" t="s">
        <v>494</v>
      </c>
      <c r="F25" s="605"/>
      <c r="G25" s="264">
        <v>0</v>
      </c>
      <c r="H25" s="264">
        <f t="shared" si="1"/>
        <v>0</v>
      </c>
      <c r="I25" s="640"/>
      <c r="J25" s="604"/>
    </row>
    <row r="26" spans="2:15" x14ac:dyDescent="0.25">
      <c r="B26" s="600"/>
      <c r="C26" s="548" t="s">
        <v>495</v>
      </c>
      <c r="D26" s="868"/>
      <c r="E26" s="613" t="s">
        <v>496</v>
      </c>
      <c r="F26" s="605"/>
      <c r="G26" s="264">
        <v>0</v>
      </c>
      <c r="H26" s="635">
        <f t="shared" si="1"/>
        <v>0</v>
      </c>
      <c r="I26" s="611"/>
      <c r="J26" s="604"/>
    </row>
    <row r="27" spans="2:15" x14ac:dyDescent="0.25">
      <c r="B27" s="600"/>
      <c r="C27" s="548" t="s">
        <v>497</v>
      </c>
      <c r="D27" s="869"/>
      <c r="E27" s="613" t="s">
        <v>498</v>
      </c>
      <c r="F27" s="605"/>
      <c r="G27" s="264">
        <v>0</v>
      </c>
      <c r="H27" s="635">
        <f t="shared" si="1"/>
        <v>0</v>
      </c>
      <c r="I27" s="611"/>
      <c r="J27" s="604"/>
    </row>
    <row r="28" spans="2:15" ht="16.2" thickBot="1" x14ac:dyDescent="0.35">
      <c r="B28" s="600"/>
      <c r="C28" s="548" t="s">
        <v>499</v>
      </c>
      <c r="D28" s="264">
        <v>0.05</v>
      </c>
      <c r="E28" s="610" t="s">
        <v>500</v>
      </c>
      <c r="F28" s="641"/>
      <c r="G28" s="264">
        <v>0</v>
      </c>
      <c r="H28" s="264">
        <f t="shared" si="1"/>
        <v>0</v>
      </c>
      <c r="I28" s="640"/>
      <c r="J28" s="604"/>
      <c r="L28" s="504"/>
      <c r="M28" s="504"/>
      <c r="N28" s="504"/>
    </row>
    <row r="29" spans="2:15" s="567" customFormat="1" ht="14.4" thickBot="1" x14ac:dyDescent="0.3">
      <c r="B29" s="561"/>
      <c r="C29" s="592" t="s">
        <v>63</v>
      </c>
      <c r="D29" s="593">
        <f>SUM(D23:D28)</f>
        <v>0.2</v>
      </c>
      <c r="E29" s="854"/>
      <c r="F29" s="854"/>
      <c r="G29" s="854"/>
      <c r="H29" s="642">
        <f>SUM(H23:H28)</f>
        <v>0</v>
      </c>
      <c r="I29" s="522"/>
      <c r="J29" s="563"/>
    </row>
    <row r="30" spans="2:15" s="504" customFormat="1" ht="16.2" thickBot="1" x14ac:dyDescent="0.35">
      <c r="B30" s="502"/>
      <c r="C30" s="861" t="s">
        <v>64</v>
      </c>
      <c r="D30" s="862"/>
      <c r="E30" s="862"/>
      <c r="F30" s="862"/>
      <c r="G30" s="862"/>
      <c r="H30" s="862"/>
      <c r="I30" s="866"/>
      <c r="J30" s="527"/>
    </row>
    <row r="31" spans="2:15" ht="42" thickBot="1" x14ac:dyDescent="0.3">
      <c r="B31" s="556"/>
      <c r="C31" s="557" t="s">
        <v>36</v>
      </c>
      <c r="D31" s="507" t="s">
        <v>37</v>
      </c>
      <c r="E31" s="508" t="s">
        <v>38</v>
      </c>
      <c r="F31" s="507" t="s">
        <v>39</v>
      </c>
      <c r="G31" s="507" t="s">
        <v>40</v>
      </c>
      <c r="H31" s="507" t="s">
        <v>41</v>
      </c>
      <c r="I31" s="558" t="s">
        <v>42</v>
      </c>
      <c r="J31" s="559"/>
      <c r="L31" s="614"/>
    </row>
    <row r="32" spans="2:15" ht="26.4" x14ac:dyDescent="0.25">
      <c r="B32" s="556"/>
      <c r="C32" s="615" t="s">
        <v>501</v>
      </c>
      <c r="D32" s="264">
        <v>0.04</v>
      </c>
      <c r="E32" s="616" t="s">
        <v>502</v>
      </c>
      <c r="F32" s="643"/>
      <c r="G32" s="264">
        <v>0</v>
      </c>
      <c r="H32" s="263">
        <f>G32*D32</f>
        <v>0</v>
      </c>
      <c r="I32" s="515"/>
      <c r="J32" s="559"/>
      <c r="K32" s="486"/>
      <c r="M32" s="614"/>
      <c r="N32" s="614"/>
      <c r="O32" s="609"/>
    </row>
    <row r="33" spans="2:13" x14ac:dyDescent="0.25">
      <c r="B33" s="556"/>
      <c r="C33" s="615" t="s">
        <v>503</v>
      </c>
      <c r="D33" s="264">
        <v>0.03</v>
      </c>
      <c r="E33" s="616" t="s">
        <v>504</v>
      </c>
      <c r="F33" s="644"/>
      <c r="G33" s="629">
        <v>0</v>
      </c>
      <c r="H33" s="264">
        <f>G33*D33</f>
        <v>0</v>
      </c>
      <c r="I33" s="515" t="s">
        <v>505</v>
      </c>
      <c r="J33" s="559"/>
    </row>
    <row r="34" spans="2:13" ht="39.6" x14ac:dyDescent="0.25">
      <c r="B34" s="556"/>
      <c r="C34" s="617" t="s">
        <v>506</v>
      </c>
      <c r="D34" s="607">
        <v>0.03</v>
      </c>
      <c r="E34" s="618" t="s">
        <v>465</v>
      </c>
      <c r="F34" s="608"/>
      <c r="G34" s="629">
        <v>0</v>
      </c>
      <c r="H34" s="264">
        <f>G34*D34</f>
        <v>0</v>
      </c>
      <c r="I34" s="645"/>
      <c r="J34" s="559"/>
    </row>
    <row r="35" spans="2:13" ht="13.8" thickBot="1" x14ac:dyDescent="0.3">
      <c r="B35" s="600"/>
      <c r="C35" s="548"/>
      <c r="D35" s="265"/>
      <c r="E35" s="612"/>
      <c r="F35" s="371"/>
      <c r="G35" s="629"/>
      <c r="H35" s="264"/>
      <c r="I35" s="625"/>
      <c r="J35" s="604"/>
      <c r="K35" s="88"/>
      <c r="L35" s="88"/>
    </row>
    <row r="36" spans="2:13" s="567" customFormat="1" ht="14.4" thickBot="1" x14ac:dyDescent="0.3">
      <c r="B36" s="561"/>
      <c r="C36" s="592" t="s">
        <v>70</v>
      </c>
      <c r="D36" s="593">
        <f>SUM(D32:D34)</f>
        <v>0.1</v>
      </c>
      <c r="E36" s="853"/>
      <c r="F36" s="854"/>
      <c r="G36" s="855"/>
      <c r="H36" s="638">
        <f>SUM(H32:H33)</f>
        <v>0</v>
      </c>
      <c r="I36" s="594"/>
      <c r="J36" s="563"/>
      <c r="L36" s="565"/>
      <c r="M36" s="566"/>
    </row>
    <row r="37" spans="2:13" s="567" customFormat="1" ht="14.4" thickBot="1" x14ac:dyDescent="0.3">
      <c r="B37" s="561"/>
      <c r="C37" s="646" t="s">
        <v>71</v>
      </c>
      <c r="D37" s="647">
        <f>D36+D29+D20+D13</f>
        <v>1</v>
      </c>
      <c r="E37" s="856"/>
      <c r="F37" s="856"/>
      <c r="G37" s="856"/>
      <c r="H37" s="856"/>
      <c r="I37" s="857"/>
      <c r="J37" s="563"/>
      <c r="L37" s="572"/>
      <c r="M37" s="573"/>
    </row>
    <row r="38" spans="2:13" s="567" customFormat="1" ht="14.4" thickBot="1" x14ac:dyDescent="0.3">
      <c r="B38" s="561"/>
      <c r="C38" s="845" t="s">
        <v>72</v>
      </c>
      <c r="D38" s="846"/>
      <c r="E38" s="846"/>
      <c r="F38" s="847"/>
      <c r="G38" s="858">
        <f>H36+H29+H20+H13</f>
        <v>0</v>
      </c>
      <c r="H38" s="859"/>
      <c r="I38" s="860"/>
      <c r="J38" s="563"/>
      <c r="M38" s="565"/>
    </row>
    <row r="39" spans="2:13" ht="28.2" thickBot="1" x14ac:dyDescent="0.5">
      <c r="B39" s="574"/>
      <c r="C39" s="575"/>
      <c r="D39" s="575"/>
      <c r="E39" s="576"/>
      <c r="F39" s="648"/>
      <c r="G39" s="577"/>
      <c r="H39" s="577"/>
      <c r="I39" s="578"/>
      <c r="J39" s="579"/>
      <c r="M39" s="580"/>
    </row>
  </sheetData>
  <mergeCells count="15">
    <mergeCell ref="E36:G36"/>
    <mergeCell ref="E37:I37"/>
    <mergeCell ref="C38:F38"/>
    <mergeCell ref="G38:I38"/>
    <mergeCell ref="F3:I3"/>
    <mergeCell ref="F4:I4"/>
    <mergeCell ref="C5:I5"/>
    <mergeCell ref="E13:G13"/>
    <mergeCell ref="C14:I14"/>
    <mergeCell ref="E20:G20"/>
    <mergeCell ref="C21:I21"/>
    <mergeCell ref="E29:G29"/>
    <mergeCell ref="C30:I30"/>
    <mergeCell ref="C3:E3"/>
    <mergeCell ref="D25:D27"/>
  </mergeCells>
  <conditionalFormatting sqref="D37">
    <cfRule type="cellIs" dxfId="35" priority="1" stopIfTrue="1" operator="greaterThan">
      <formula>1</formula>
    </cfRule>
    <cfRule type="cellIs" dxfId="34" priority="2" stopIfTrue="1" operator="lessThan">
      <formula>1</formula>
    </cfRule>
  </conditionalFormatting>
  <conditionalFormatting sqref="H13">
    <cfRule type="expression" dxfId="33" priority="3" stopIfTrue="1">
      <formula>"if($H$14/$D$14)&lt;80"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B2E3-2E94-41DA-A463-F355D5980D51}">
  <sheetPr codeName="Sheet16"/>
  <dimension ref="B1:O35"/>
  <sheetViews>
    <sheetView zoomScale="80" zoomScaleNormal="80" workbookViewId="0">
      <selection activeCell="E30" sqref="E30"/>
    </sheetView>
  </sheetViews>
  <sheetFormatPr defaultColWidth="8.77734375" defaultRowHeight="13.2" x14ac:dyDescent="0.25"/>
  <cols>
    <col min="1" max="1" width="1.5546875" style="484" customWidth="1"/>
    <col min="2" max="2" width="2.77734375" style="484" customWidth="1"/>
    <col min="3" max="3" width="71.44140625" style="484" customWidth="1"/>
    <col min="4" max="4" width="13.77734375" style="484" customWidth="1"/>
    <col min="5" max="5" width="69.44140625" style="485" customWidth="1"/>
    <col min="6" max="6" width="21.21875" style="42" customWidth="1"/>
    <col min="7" max="7" width="16.21875" style="485" customWidth="1"/>
    <col min="8" max="8" width="17.77734375" style="485" customWidth="1"/>
    <col min="9" max="9" width="34.21875" style="485" customWidth="1"/>
    <col min="10" max="10" width="2.5546875" style="484" customWidth="1"/>
    <col min="11" max="11" width="11.21875" style="484" bestFit="1" customWidth="1"/>
    <col min="12" max="12" width="11.21875" style="484" customWidth="1"/>
    <col min="13" max="13" width="11.77734375" style="484" customWidth="1"/>
    <col min="14" max="14" width="8.77734375" style="484"/>
    <col min="15" max="15" width="22.77734375" style="484" bestFit="1" customWidth="1"/>
    <col min="16" max="16384" width="8.77734375" style="484"/>
  </cols>
  <sheetData>
    <row r="1" spans="2:13" ht="13.8" thickBot="1" x14ac:dyDescent="0.3"/>
    <row r="2" spans="2:13" s="494" customFormat="1" ht="28.2" thickBot="1" x14ac:dyDescent="0.5">
      <c r="B2" s="487"/>
      <c r="C2" s="488"/>
      <c r="D2" s="488"/>
      <c r="E2" s="489"/>
      <c r="F2" s="490" t="s">
        <v>31</v>
      </c>
      <c r="G2" s="491"/>
      <c r="H2" s="491"/>
      <c r="I2" s="491"/>
      <c r="J2" s="492"/>
    </row>
    <row r="3" spans="2:13" s="498" customFormat="1" ht="24.6" x14ac:dyDescent="0.4">
      <c r="B3" s="495"/>
      <c r="C3" s="836" t="s">
        <v>507</v>
      </c>
      <c r="D3" s="837"/>
      <c r="E3" s="838"/>
      <c r="F3" s="839" t="s">
        <v>33</v>
      </c>
      <c r="G3" s="840"/>
      <c r="H3" s="840"/>
      <c r="I3" s="841"/>
      <c r="J3" s="496"/>
    </row>
    <row r="4" spans="2:13" s="498" customFormat="1" ht="25.2" thickBot="1" x14ac:dyDescent="0.45">
      <c r="B4" s="495"/>
      <c r="C4" s="499">
        <v>2024</v>
      </c>
      <c r="D4" s="500"/>
      <c r="E4" s="501"/>
      <c r="F4" s="842" t="s">
        <v>34</v>
      </c>
      <c r="G4" s="843"/>
      <c r="H4" s="843"/>
      <c r="I4" s="844"/>
      <c r="J4" s="496"/>
      <c r="K4" s="581"/>
    </row>
    <row r="5" spans="2:13" s="504" customFormat="1" ht="23.4" thickBot="1" x14ac:dyDescent="0.45">
      <c r="B5" s="502"/>
      <c r="C5" s="781" t="s">
        <v>35</v>
      </c>
      <c r="D5" s="782"/>
      <c r="E5" s="782"/>
      <c r="F5" s="782"/>
      <c r="G5" s="782"/>
      <c r="H5" s="782"/>
      <c r="I5" s="783"/>
      <c r="J5" s="496"/>
    </row>
    <row r="6" spans="2:13" ht="42" thickBot="1" x14ac:dyDescent="0.3">
      <c r="B6" s="556"/>
      <c r="C6" s="506" t="s">
        <v>36</v>
      </c>
      <c r="D6" s="507" t="s">
        <v>37</v>
      </c>
      <c r="E6" s="507" t="s">
        <v>38</v>
      </c>
      <c r="F6" s="507" t="s">
        <v>39</v>
      </c>
      <c r="G6" s="507" t="s">
        <v>40</v>
      </c>
      <c r="H6" s="507" t="s">
        <v>41</v>
      </c>
      <c r="I6" s="508" t="s">
        <v>42</v>
      </c>
      <c r="J6" s="559"/>
    </row>
    <row r="7" spans="2:13" ht="23.85" customHeight="1" x14ac:dyDescent="0.25">
      <c r="B7" s="556"/>
      <c r="C7" s="619" t="s">
        <v>508</v>
      </c>
      <c r="D7" s="39">
        <v>0.2</v>
      </c>
      <c r="E7" s="620" t="s">
        <v>509</v>
      </c>
      <c r="F7" s="649"/>
      <c r="G7" s="79">
        <v>0</v>
      </c>
      <c r="H7" s="60">
        <f>G7*D7</f>
        <v>0</v>
      </c>
      <c r="I7" s="621"/>
      <c r="J7" s="559"/>
    </row>
    <row r="8" spans="2:13" x14ac:dyDescent="0.25">
      <c r="B8" s="556"/>
      <c r="C8" s="514" t="s">
        <v>510</v>
      </c>
      <c r="D8" s="51">
        <v>0.1</v>
      </c>
      <c r="E8" s="622" t="s">
        <v>511</v>
      </c>
      <c r="F8" s="586"/>
      <c r="G8" s="79">
        <v>0</v>
      </c>
      <c r="H8" s="51">
        <v>0</v>
      </c>
      <c r="I8" s="518"/>
      <c r="J8" s="559"/>
    </row>
    <row r="9" spans="2:13" ht="26.4" x14ac:dyDescent="0.25">
      <c r="B9" s="556"/>
      <c r="C9" s="623" t="s">
        <v>512</v>
      </c>
      <c r="D9" s="51">
        <v>0.05</v>
      </c>
      <c r="E9" s="622" t="s">
        <v>513</v>
      </c>
      <c r="F9" s="586"/>
      <c r="G9" s="79">
        <v>0</v>
      </c>
      <c r="H9" s="51">
        <v>0</v>
      </c>
      <c r="I9" s="518"/>
      <c r="J9" s="559"/>
    </row>
    <row r="10" spans="2:13" x14ac:dyDescent="0.25">
      <c r="B10" s="556"/>
      <c r="C10" s="514" t="s">
        <v>514</v>
      </c>
      <c r="D10" s="51">
        <v>0.05</v>
      </c>
      <c r="E10" s="622" t="s">
        <v>515</v>
      </c>
      <c r="F10" s="586"/>
      <c r="G10" s="79">
        <v>0</v>
      </c>
      <c r="H10" s="51">
        <v>0</v>
      </c>
      <c r="I10" s="518"/>
      <c r="J10" s="559"/>
    </row>
    <row r="11" spans="2:13" x14ac:dyDescent="0.25">
      <c r="B11" s="556"/>
      <c r="C11" s="516" t="s">
        <v>516</v>
      </c>
      <c r="D11" s="51">
        <v>7.4999999999999997E-2</v>
      </c>
      <c r="E11" s="622" t="s">
        <v>517</v>
      </c>
      <c r="F11" s="586"/>
      <c r="G11" s="79">
        <v>0</v>
      </c>
      <c r="H11" s="51">
        <v>0</v>
      </c>
      <c r="I11" s="518"/>
      <c r="J11" s="559"/>
    </row>
    <row r="12" spans="2:13" ht="13.8" thickBot="1" x14ac:dyDescent="0.3">
      <c r="B12" s="556"/>
      <c r="C12" s="517" t="s">
        <v>518</v>
      </c>
      <c r="D12" s="51">
        <v>2.5000000000000001E-2</v>
      </c>
      <c r="E12" s="624" t="s">
        <v>519</v>
      </c>
      <c r="F12" s="650"/>
      <c r="G12" s="79">
        <v>0</v>
      </c>
      <c r="H12" s="53">
        <f>G12*D12</f>
        <v>0</v>
      </c>
      <c r="I12" s="518"/>
      <c r="J12" s="559"/>
    </row>
    <row r="13" spans="2:13" s="596" customFormat="1" ht="14.4" thickBot="1" x14ac:dyDescent="0.3">
      <c r="B13" s="591"/>
      <c r="C13" s="592" t="s">
        <v>49</v>
      </c>
      <c r="D13" s="30">
        <f>SUM(D7:D12)</f>
        <v>0.5</v>
      </c>
      <c r="E13" s="778"/>
      <c r="F13" s="779"/>
      <c r="G13" s="780"/>
      <c r="H13" s="82">
        <f>SUM(H7:H12)</f>
        <v>0</v>
      </c>
      <c r="I13" s="522"/>
      <c r="J13" s="595"/>
      <c r="L13" s="597"/>
      <c r="M13" s="61"/>
    </row>
    <row r="14" spans="2:13" s="504" customFormat="1" ht="16.2" thickBot="1" x14ac:dyDescent="0.35">
      <c r="B14" s="502"/>
      <c r="C14" s="781" t="s">
        <v>50</v>
      </c>
      <c r="D14" s="782"/>
      <c r="E14" s="782"/>
      <c r="F14" s="782"/>
      <c r="G14" s="782"/>
      <c r="H14" s="782"/>
      <c r="I14" s="783"/>
      <c r="J14" s="527"/>
      <c r="L14" s="63"/>
      <c r="M14" s="528"/>
    </row>
    <row r="15" spans="2:13" ht="42" thickBot="1" x14ac:dyDescent="0.3">
      <c r="B15" s="556"/>
      <c r="C15" s="506" t="s">
        <v>36</v>
      </c>
      <c r="D15" s="507" t="s">
        <v>37</v>
      </c>
      <c r="E15" s="508" t="s">
        <v>38</v>
      </c>
      <c r="F15" s="507" t="s">
        <v>39</v>
      </c>
      <c r="G15" s="507" t="s">
        <v>40</v>
      </c>
      <c r="H15" s="507" t="s">
        <v>41</v>
      </c>
      <c r="I15" s="508" t="s">
        <v>42</v>
      </c>
      <c r="J15" s="559"/>
    </row>
    <row r="16" spans="2:13" ht="39.6" x14ac:dyDescent="0.25">
      <c r="B16" s="600"/>
      <c r="C16" s="514" t="s">
        <v>180</v>
      </c>
      <c r="D16" s="49">
        <v>0.1</v>
      </c>
      <c r="E16" s="134" t="s">
        <v>178</v>
      </c>
      <c r="F16" s="254"/>
      <c r="G16" s="51">
        <v>0</v>
      </c>
      <c r="H16" s="51">
        <v>0</v>
      </c>
      <c r="I16" s="73"/>
      <c r="J16" s="604"/>
      <c r="L16" s="597"/>
      <c r="M16" s="597"/>
    </row>
    <row r="17" spans="2:15" ht="26.4" x14ac:dyDescent="0.25">
      <c r="B17" s="600"/>
      <c r="C17" s="623" t="s">
        <v>520</v>
      </c>
      <c r="D17" s="51">
        <v>0.05</v>
      </c>
      <c r="E17" s="148" t="s">
        <v>521</v>
      </c>
      <c r="F17" s="255"/>
      <c r="G17" s="51">
        <v>0</v>
      </c>
      <c r="H17" s="51">
        <v>0</v>
      </c>
      <c r="I17" s="78"/>
      <c r="J17" s="604"/>
      <c r="L17" s="597"/>
      <c r="M17" s="597"/>
    </row>
    <row r="18" spans="2:15" ht="27" thickBot="1" x14ac:dyDescent="0.3">
      <c r="B18" s="600"/>
      <c r="C18" s="514" t="s">
        <v>522</v>
      </c>
      <c r="D18" s="126">
        <v>0.05</v>
      </c>
      <c r="E18" s="141" t="s">
        <v>523</v>
      </c>
      <c r="F18" s="256"/>
      <c r="G18" s="51">
        <v>0</v>
      </c>
      <c r="H18" s="51">
        <v>0</v>
      </c>
      <c r="I18" s="78"/>
      <c r="J18" s="604"/>
      <c r="L18" s="597"/>
      <c r="M18" s="597"/>
    </row>
    <row r="19" spans="2:15" s="567" customFormat="1" ht="14.4" thickBot="1" x14ac:dyDescent="0.3">
      <c r="B19" s="561"/>
      <c r="C19" s="592" t="s">
        <v>55</v>
      </c>
      <c r="D19" s="30">
        <f>SUM(D16:D18)</f>
        <v>0.2</v>
      </c>
      <c r="E19" s="779"/>
      <c r="F19" s="779"/>
      <c r="G19" s="779"/>
      <c r="H19" s="62">
        <f>SUM(H16:H18)</f>
        <v>0</v>
      </c>
      <c r="I19" s="522"/>
      <c r="J19" s="563"/>
      <c r="L19" s="484"/>
      <c r="M19" s="146"/>
      <c r="N19" s="484"/>
    </row>
    <row r="20" spans="2:15" s="504" customFormat="1" ht="16.2" thickBot="1" x14ac:dyDescent="0.35">
      <c r="B20" s="502"/>
      <c r="C20" s="784" t="s">
        <v>56</v>
      </c>
      <c r="D20" s="785"/>
      <c r="E20" s="785"/>
      <c r="F20" s="785"/>
      <c r="G20" s="785"/>
      <c r="H20" s="785"/>
      <c r="I20" s="786"/>
      <c r="J20" s="527"/>
      <c r="L20" s="484"/>
      <c r="M20" s="484"/>
      <c r="N20" s="484"/>
    </row>
    <row r="21" spans="2:15" ht="42" thickBot="1" x14ac:dyDescent="0.3">
      <c r="B21" s="556"/>
      <c r="C21" s="506" t="s">
        <v>36</v>
      </c>
      <c r="D21" s="507" t="s">
        <v>37</v>
      </c>
      <c r="E21" s="508" t="s">
        <v>38</v>
      </c>
      <c r="F21" s="507" t="s">
        <v>39</v>
      </c>
      <c r="G21" s="507" t="s">
        <v>40</v>
      </c>
      <c r="H21" s="507" t="s">
        <v>41</v>
      </c>
      <c r="I21" s="508" t="s">
        <v>42</v>
      </c>
      <c r="J21" s="559"/>
      <c r="L21" s="567"/>
      <c r="M21" s="567"/>
      <c r="N21" s="567"/>
    </row>
    <row r="22" spans="2:15" ht="26.4" x14ac:dyDescent="0.3">
      <c r="B22" s="600"/>
      <c r="C22" s="548" t="s">
        <v>187</v>
      </c>
      <c r="D22" s="51">
        <v>0.05</v>
      </c>
      <c r="E22" s="134" t="s">
        <v>524</v>
      </c>
      <c r="F22" s="147"/>
      <c r="G22" s="51">
        <v>0</v>
      </c>
      <c r="H22" s="51">
        <v>0</v>
      </c>
      <c r="I22" s="81"/>
      <c r="J22" s="604"/>
      <c r="L22" s="504"/>
      <c r="M22" s="504"/>
      <c r="N22" s="504"/>
    </row>
    <row r="23" spans="2:15" ht="15.6" x14ac:dyDescent="0.3">
      <c r="B23" s="600"/>
      <c r="C23" s="548" t="s">
        <v>525</v>
      </c>
      <c r="D23" s="51">
        <v>0.05</v>
      </c>
      <c r="E23" s="148" t="s">
        <v>526</v>
      </c>
      <c r="F23" s="78"/>
      <c r="G23" s="51">
        <v>0</v>
      </c>
      <c r="H23" s="51">
        <v>0</v>
      </c>
      <c r="I23" s="81"/>
      <c r="J23" s="604"/>
      <c r="L23" s="504"/>
      <c r="M23" s="504"/>
      <c r="N23" s="504"/>
    </row>
    <row r="24" spans="2:15" ht="26.4" x14ac:dyDescent="0.3">
      <c r="B24" s="600"/>
      <c r="C24" s="548" t="s">
        <v>189</v>
      </c>
      <c r="D24" s="51">
        <v>0.05</v>
      </c>
      <c r="E24" s="148" t="s">
        <v>527</v>
      </c>
      <c r="F24" s="78"/>
      <c r="G24" s="51">
        <v>0</v>
      </c>
      <c r="H24" s="51">
        <v>0</v>
      </c>
      <c r="I24" s="81"/>
      <c r="J24" s="604"/>
      <c r="L24" s="504"/>
      <c r="M24" s="504"/>
      <c r="N24" s="504"/>
    </row>
    <row r="25" spans="2:15" ht="13.8" thickBot="1" x14ac:dyDescent="0.3">
      <c r="B25" s="600"/>
      <c r="C25" s="548" t="s">
        <v>191</v>
      </c>
      <c r="D25" s="265">
        <v>0.05</v>
      </c>
      <c r="E25" s="356" t="s">
        <v>192</v>
      </c>
      <c r="F25" s="371"/>
      <c r="G25" s="51">
        <v>0</v>
      </c>
      <c r="H25" s="53">
        <f>G25*D25</f>
        <v>0</v>
      </c>
      <c r="I25" s="625"/>
      <c r="J25" s="604"/>
      <c r="K25" s="88"/>
      <c r="L25" s="88"/>
    </row>
    <row r="26" spans="2:15" s="567" customFormat="1" ht="14.4" thickBot="1" x14ac:dyDescent="0.3">
      <c r="B26" s="561"/>
      <c r="C26" s="592" t="s">
        <v>63</v>
      </c>
      <c r="D26" s="30">
        <f>SUM(D22:D25)</f>
        <v>0.2</v>
      </c>
      <c r="E26" s="779"/>
      <c r="F26" s="779"/>
      <c r="G26" s="779"/>
      <c r="H26" s="29">
        <f>SUM(H22:H25)</f>
        <v>0</v>
      </c>
      <c r="I26" s="522"/>
      <c r="J26" s="563"/>
    </row>
    <row r="27" spans="2:15" s="504" customFormat="1" ht="16.2" thickBot="1" x14ac:dyDescent="0.35">
      <c r="B27" s="502"/>
      <c r="C27" s="781" t="s">
        <v>64</v>
      </c>
      <c r="D27" s="782"/>
      <c r="E27" s="782"/>
      <c r="F27" s="782"/>
      <c r="G27" s="782"/>
      <c r="H27" s="782"/>
      <c r="I27" s="786"/>
      <c r="J27" s="527"/>
    </row>
    <row r="28" spans="2:15" ht="42" thickBot="1" x14ac:dyDescent="0.3">
      <c r="B28" s="556"/>
      <c r="C28" s="557" t="s">
        <v>36</v>
      </c>
      <c r="D28" s="507" t="s">
        <v>37</v>
      </c>
      <c r="E28" s="508" t="s">
        <v>38</v>
      </c>
      <c r="F28" s="507" t="s">
        <v>39</v>
      </c>
      <c r="G28" s="507" t="s">
        <v>40</v>
      </c>
      <c r="H28" s="507" t="s">
        <v>41</v>
      </c>
      <c r="I28" s="558" t="s">
        <v>42</v>
      </c>
      <c r="J28" s="559"/>
      <c r="L28" s="151"/>
    </row>
    <row r="29" spans="2:15" ht="27.6" x14ac:dyDescent="0.25">
      <c r="B29" s="556"/>
      <c r="C29" s="553" t="s">
        <v>528</v>
      </c>
      <c r="D29" s="51">
        <v>0.04</v>
      </c>
      <c r="E29" s="134" t="s">
        <v>529</v>
      </c>
      <c r="F29" s="147"/>
      <c r="G29" s="51">
        <v>0</v>
      </c>
      <c r="H29" s="60">
        <f>G29*D29</f>
        <v>0</v>
      </c>
      <c r="I29" s="518"/>
      <c r="J29" s="559"/>
      <c r="K29" s="486"/>
      <c r="M29" s="151"/>
      <c r="N29" s="151"/>
      <c r="O29" s="146"/>
    </row>
    <row r="30" spans="2:15" ht="14.4" x14ac:dyDescent="0.25">
      <c r="B30" s="556"/>
      <c r="C30" s="548" t="s">
        <v>530</v>
      </c>
      <c r="D30" s="51">
        <v>0.03</v>
      </c>
      <c r="E30" s="148" t="s">
        <v>531</v>
      </c>
      <c r="F30" s="78"/>
      <c r="G30" s="79">
        <v>0</v>
      </c>
      <c r="H30" s="51">
        <f>G30*D30</f>
        <v>0</v>
      </c>
      <c r="I30" s="336" t="s">
        <v>532</v>
      </c>
      <c r="J30" s="559"/>
    </row>
    <row r="31" spans="2:15" ht="40.200000000000003" thickBot="1" x14ac:dyDescent="0.3">
      <c r="B31" s="556"/>
      <c r="C31" s="548" t="s">
        <v>533</v>
      </c>
      <c r="D31" s="51">
        <v>0.03</v>
      </c>
      <c r="E31" s="141" t="s">
        <v>465</v>
      </c>
      <c r="F31" s="632"/>
      <c r="G31" s="79">
        <v>0</v>
      </c>
      <c r="H31" s="51">
        <f>G31*D31</f>
        <v>0</v>
      </c>
      <c r="I31" s="626"/>
      <c r="J31" s="559"/>
    </row>
    <row r="32" spans="2:15" s="567" customFormat="1" ht="14.4" thickBot="1" x14ac:dyDescent="0.3">
      <c r="B32" s="561"/>
      <c r="C32" s="592" t="s">
        <v>70</v>
      </c>
      <c r="D32" s="30">
        <f>SUM(D29:D31)</f>
        <v>0.1</v>
      </c>
      <c r="E32" s="778"/>
      <c r="F32" s="779"/>
      <c r="G32" s="780"/>
      <c r="H32" s="62">
        <f>SUM(H29:H30)</f>
        <v>0</v>
      </c>
      <c r="I32" s="594"/>
      <c r="J32" s="563"/>
      <c r="L32" s="565"/>
      <c r="M32" s="566"/>
    </row>
    <row r="33" spans="2:13" s="567" customFormat="1" ht="14.4" thickBot="1" x14ac:dyDescent="0.3">
      <c r="B33" s="561"/>
      <c r="C33" s="646" t="s">
        <v>71</v>
      </c>
      <c r="D33" s="37">
        <f>D32+D26+D19+D13</f>
        <v>1</v>
      </c>
      <c r="E33" s="799"/>
      <c r="F33" s="799"/>
      <c r="G33" s="799"/>
      <c r="H33" s="799"/>
      <c r="I33" s="800"/>
      <c r="J33" s="563"/>
      <c r="L33" s="572"/>
      <c r="M33" s="573"/>
    </row>
    <row r="34" spans="2:13" s="567" customFormat="1" ht="14.4" thickBot="1" x14ac:dyDescent="0.3">
      <c r="B34" s="561"/>
      <c r="C34" s="845" t="s">
        <v>72</v>
      </c>
      <c r="D34" s="846"/>
      <c r="E34" s="846"/>
      <c r="F34" s="847"/>
      <c r="G34" s="787">
        <f>H32+H26+H19+H13</f>
        <v>0</v>
      </c>
      <c r="H34" s="788"/>
      <c r="I34" s="789"/>
      <c r="J34" s="563"/>
      <c r="M34" s="565"/>
    </row>
    <row r="35" spans="2:13" ht="28.2" thickBot="1" x14ac:dyDescent="0.5">
      <c r="B35" s="574"/>
      <c r="C35" s="575"/>
      <c r="D35" s="575"/>
      <c r="E35" s="576"/>
      <c r="F35" s="44"/>
      <c r="G35" s="577"/>
      <c r="H35" s="577"/>
      <c r="I35" s="578"/>
      <c r="J35" s="579"/>
      <c r="M35" s="580"/>
    </row>
  </sheetData>
  <mergeCells count="14">
    <mergeCell ref="E33:I33"/>
    <mergeCell ref="C34:F34"/>
    <mergeCell ref="G34:I34"/>
    <mergeCell ref="C14:I14"/>
    <mergeCell ref="E19:G19"/>
    <mergeCell ref="C20:I20"/>
    <mergeCell ref="E26:G26"/>
    <mergeCell ref="C27:I27"/>
    <mergeCell ref="E32:G32"/>
    <mergeCell ref="C3:E3"/>
    <mergeCell ref="F3:I3"/>
    <mergeCell ref="F4:I4"/>
    <mergeCell ref="C5:I5"/>
    <mergeCell ref="E13:G13"/>
  </mergeCells>
  <conditionalFormatting sqref="D33">
    <cfRule type="cellIs" dxfId="32" priority="1" stopIfTrue="1" operator="greaterThan">
      <formula>1</formula>
    </cfRule>
    <cfRule type="cellIs" dxfId="31" priority="2" stopIfTrue="1" operator="lessThan">
      <formula>1</formula>
    </cfRule>
  </conditionalFormatting>
  <conditionalFormatting sqref="H13">
    <cfRule type="expression" dxfId="30" priority="3" stopIfTrue="1">
      <formula>"if($H$14/$D$14)&lt;80"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7FE1-E8D7-436E-846B-DA289498E04A}">
  <sheetPr codeName="Sheet17"/>
  <dimension ref="B1:L45"/>
  <sheetViews>
    <sheetView zoomScale="80" zoomScaleNormal="80" workbookViewId="0">
      <selection activeCell="E40" sqref="E40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2.21875" style="385" customWidth="1"/>
    <col min="4" max="4" width="15" style="385" customWidth="1"/>
    <col min="5" max="5" width="49.5546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36.77734375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9.6" customHeight="1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534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ht="42" thickBot="1" x14ac:dyDescent="0.3">
      <c r="B6" s="405"/>
      <c r="C6" s="654" t="s">
        <v>36</v>
      </c>
      <c r="D6" s="448" t="s">
        <v>37</v>
      </c>
      <c r="E6" s="655" t="s">
        <v>38</v>
      </c>
      <c r="F6" s="656" t="s">
        <v>535</v>
      </c>
      <c r="G6" s="655" t="s">
        <v>39</v>
      </c>
      <c r="H6" s="448" t="s">
        <v>40</v>
      </c>
      <c r="I6" s="448" t="s">
        <v>41</v>
      </c>
      <c r="J6" s="657" t="s">
        <v>42</v>
      </c>
      <c r="K6" s="410"/>
    </row>
    <row r="7" spans="2:12" s="417" customFormat="1" x14ac:dyDescent="0.25">
      <c r="B7" s="411"/>
      <c r="C7" s="451" t="s">
        <v>536</v>
      </c>
      <c r="D7" s="39">
        <v>2.5000000000000001E-2</v>
      </c>
      <c r="E7" s="329" t="s">
        <v>125</v>
      </c>
      <c r="F7" s="658" t="s">
        <v>537</v>
      </c>
      <c r="G7" s="461"/>
      <c r="H7" s="79">
        <v>0</v>
      </c>
      <c r="I7" s="60">
        <v>0</v>
      </c>
      <c r="J7" s="659"/>
      <c r="K7" s="416"/>
    </row>
    <row r="8" spans="2:12" s="417" customFormat="1" ht="26.4" x14ac:dyDescent="0.25">
      <c r="B8" s="411"/>
      <c r="C8" s="452" t="s">
        <v>538</v>
      </c>
      <c r="D8" s="51">
        <v>0.1</v>
      </c>
      <c r="E8" s="456" t="s">
        <v>539</v>
      </c>
      <c r="F8" s="660" t="s">
        <v>540</v>
      </c>
      <c r="G8" s="462"/>
      <c r="H8" s="79">
        <v>0</v>
      </c>
      <c r="I8" s="51">
        <v>0</v>
      </c>
      <c r="J8" s="450"/>
      <c r="K8" s="416"/>
    </row>
    <row r="9" spans="2:12" s="417" customFormat="1" ht="26.4" x14ac:dyDescent="0.25">
      <c r="B9" s="421"/>
      <c r="C9" s="452" t="s">
        <v>541</v>
      </c>
      <c r="D9" s="51">
        <v>0.05</v>
      </c>
      <c r="E9" s="312" t="s">
        <v>542</v>
      </c>
      <c r="F9" s="660" t="s">
        <v>540</v>
      </c>
      <c r="G9" s="450"/>
      <c r="H9" s="79">
        <v>0</v>
      </c>
      <c r="I9" s="51">
        <v>0</v>
      </c>
      <c r="J9" s="450"/>
      <c r="K9" s="422"/>
    </row>
    <row r="10" spans="2:12" s="417" customFormat="1" ht="26.4" x14ac:dyDescent="0.25">
      <c r="B10" s="421"/>
      <c r="C10" s="452" t="s">
        <v>543</v>
      </c>
      <c r="D10" s="51">
        <v>0.05</v>
      </c>
      <c r="E10" s="312" t="s">
        <v>544</v>
      </c>
      <c r="F10" s="660" t="s">
        <v>540</v>
      </c>
      <c r="G10" s="450"/>
      <c r="H10" s="79">
        <v>0</v>
      </c>
      <c r="I10" s="51">
        <v>0</v>
      </c>
      <c r="J10" s="450"/>
      <c r="K10" s="422"/>
    </row>
    <row r="11" spans="2:12" s="417" customFormat="1" x14ac:dyDescent="0.25">
      <c r="B11" s="411"/>
      <c r="C11" s="453" t="s">
        <v>545</v>
      </c>
      <c r="D11" s="51">
        <v>0.05</v>
      </c>
      <c r="E11" s="312" t="s">
        <v>546</v>
      </c>
      <c r="F11" s="660" t="s">
        <v>540</v>
      </c>
      <c r="G11" s="450"/>
      <c r="H11" s="79">
        <v>0</v>
      </c>
      <c r="I11" s="51">
        <v>0</v>
      </c>
      <c r="J11" s="450"/>
      <c r="K11" s="416"/>
    </row>
    <row r="12" spans="2:12" s="417" customFormat="1" x14ac:dyDescent="0.25">
      <c r="B12" s="411"/>
      <c r="C12" s="452" t="s">
        <v>547</v>
      </c>
      <c r="D12" s="51">
        <v>7.4999999999999997E-2</v>
      </c>
      <c r="E12" s="456" t="s">
        <v>548</v>
      </c>
      <c r="F12" s="660" t="s">
        <v>540</v>
      </c>
      <c r="G12" s="462"/>
      <c r="H12" s="79">
        <v>0</v>
      </c>
      <c r="I12" s="51">
        <v>0</v>
      </c>
      <c r="J12" s="450"/>
      <c r="K12" s="416"/>
    </row>
    <row r="13" spans="2:12" s="417" customFormat="1" ht="26.4" x14ac:dyDescent="0.25">
      <c r="B13" s="421"/>
      <c r="C13" s="452" t="s">
        <v>81</v>
      </c>
      <c r="D13" s="51">
        <v>2.5000000000000001E-2</v>
      </c>
      <c r="E13" s="468">
        <v>1.3107883263470572</v>
      </c>
      <c r="F13" s="660" t="s">
        <v>540</v>
      </c>
      <c r="G13" s="450"/>
      <c r="H13" s="79">
        <v>0</v>
      </c>
      <c r="I13" s="51">
        <v>0</v>
      </c>
      <c r="J13" s="450"/>
      <c r="K13" s="422"/>
    </row>
    <row r="14" spans="2:12" s="417" customFormat="1" ht="26.4" x14ac:dyDescent="0.25">
      <c r="B14" s="411"/>
      <c r="C14" s="453" t="s">
        <v>83</v>
      </c>
      <c r="D14" s="51">
        <v>0.05</v>
      </c>
      <c r="E14" s="312" t="s">
        <v>549</v>
      </c>
      <c r="F14" s="660" t="s">
        <v>540</v>
      </c>
      <c r="G14" s="450"/>
      <c r="H14" s="79">
        <v>0</v>
      </c>
      <c r="I14" s="51">
        <v>0</v>
      </c>
      <c r="J14" s="450"/>
      <c r="K14" s="416"/>
    </row>
    <row r="15" spans="2:12" s="417" customFormat="1" ht="13.8" thickBot="1" x14ac:dyDescent="0.3">
      <c r="B15" s="421"/>
      <c r="C15" s="452" t="s">
        <v>550</v>
      </c>
      <c r="D15" s="51">
        <v>7.4999999999999997E-2</v>
      </c>
      <c r="E15" s="457" t="s">
        <v>551</v>
      </c>
      <c r="F15" s="660" t="s">
        <v>540</v>
      </c>
      <c r="G15" s="661"/>
      <c r="H15" s="79">
        <v>0</v>
      </c>
      <c r="I15" s="53">
        <v>0</v>
      </c>
      <c r="J15" s="81"/>
      <c r="K15" s="422"/>
    </row>
    <row r="16" spans="2:12" s="430" customFormat="1" ht="14.4" thickBot="1" x14ac:dyDescent="0.3">
      <c r="B16" s="425"/>
      <c r="C16" s="662" t="s">
        <v>49</v>
      </c>
      <c r="D16" s="30">
        <f>SUM(D7:D15)</f>
        <v>0.5</v>
      </c>
      <c r="E16" s="779"/>
      <c r="F16" s="779"/>
      <c r="G16" s="779"/>
      <c r="H16" s="779"/>
      <c r="I16" s="82">
        <f>SUM(I7:I15)</f>
        <v>0</v>
      </c>
      <c r="J16" s="657"/>
      <c r="K16" s="429"/>
    </row>
    <row r="17" spans="2:11" s="404" customFormat="1" ht="16.2" thickBot="1" x14ac:dyDescent="0.35">
      <c r="B17" s="403"/>
      <c r="C17" s="784" t="s">
        <v>50</v>
      </c>
      <c r="D17" s="785"/>
      <c r="E17" s="785"/>
      <c r="F17" s="785"/>
      <c r="G17" s="785"/>
      <c r="H17" s="785"/>
      <c r="I17" s="785"/>
      <c r="J17" s="786"/>
      <c r="K17" s="431"/>
    </row>
    <row r="18" spans="2:11" ht="42" thickBot="1" x14ac:dyDescent="0.3">
      <c r="B18" s="405"/>
      <c r="C18" s="654" t="s">
        <v>36</v>
      </c>
      <c r="D18" s="448" t="s">
        <v>37</v>
      </c>
      <c r="E18" s="657" t="s">
        <v>38</v>
      </c>
      <c r="F18" s="656" t="s">
        <v>535</v>
      </c>
      <c r="G18" s="655" t="s">
        <v>39</v>
      </c>
      <c r="H18" s="448" t="s">
        <v>40</v>
      </c>
      <c r="I18" s="448" t="s">
        <v>41</v>
      </c>
      <c r="J18" s="657" t="s">
        <v>42</v>
      </c>
      <c r="K18" s="410"/>
    </row>
    <row r="19" spans="2:11" s="417" customFormat="1" ht="26.4" x14ac:dyDescent="0.25">
      <c r="B19" s="421"/>
      <c r="C19" s="454" t="s">
        <v>552</v>
      </c>
      <c r="D19" s="49">
        <v>0.02</v>
      </c>
      <c r="E19" s="329" t="s">
        <v>553</v>
      </c>
      <c r="F19" s="663" t="s">
        <v>540</v>
      </c>
      <c r="G19" s="461"/>
      <c r="H19" s="51">
        <v>0</v>
      </c>
      <c r="I19" s="60">
        <v>0</v>
      </c>
      <c r="J19" s="459"/>
      <c r="K19" s="422"/>
    </row>
    <row r="20" spans="2:11" s="417" customFormat="1" x14ac:dyDescent="0.25">
      <c r="B20" s="421"/>
      <c r="C20" s="455" t="s">
        <v>554</v>
      </c>
      <c r="D20" s="51">
        <v>0.02</v>
      </c>
      <c r="E20" s="329" t="s">
        <v>135</v>
      </c>
      <c r="F20" s="663" t="s">
        <v>540</v>
      </c>
      <c r="G20" s="462"/>
      <c r="H20" s="51">
        <v>0</v>
      </c>
      <c r="I20" s="51">
        <v>0</v>
      </c>
      <c r="J20" s="449"/>
      <c r="K20" s="422"/>
    </row>
    <row r="21" spans="2:11" s="417" customFormat="1" x14ac:dyDescent="0.25">
      <c r="B21" s="421"/>
      <c r="C21" s="455" t="s">
        <v>555</v>
      </c>
      <c r="D21" s="51">
        <v>0.02</v>
      </c>
      <c r="E21" s="329" t="s">
        <v>556</v>
      </c>
      <c r="F21" s="663" t="s">
        <v>540</v>
      </c>
      <c r="G21" s="462"/>
      <c r="H21" s="51">
        <v>0</v>
      </c>
      <c r="I21" s="51">
        <v>0</v>
      </c>
      <c r="J21" s="449"/>
      <c r="K21" s="422"/>
    </row>
    <row r="22" spans="2:11" s="417" customFormat="1" x14ac:dyDescent="0.25">
      <c r="B22" s="421"/>
      <c r="C22" s="455" t="s">
        <v>139</v>
      </c>
      <c r="D22" s="51">
        <v>0.01</v>
      </c>
      <c r="E22" s="329" t="s">
        <v>557</v>
      </c>
      <c r="F22" s="663" t="s">
        <v>540</v>
      </c>
      <c r="G22" s="462"/>
      <c r="H22" s="51">
        <v>0</v>
      </c>
      <c r="I22" s="51">
        <v>0</v>
      </c>
      <c r="J22" s="449"/>
      <c r="K22" s="422"/>
    </row>
    <row r="23" spans="2:11" s="417" customFormat="1" x14ac:dyDescent="0.25">
      <c r="B23" s="421"/>
      <c r="C23" s="455" t="s">
        <v>558</v>
      </c>
      <c r="D23" s="126">
        <v>0.03</v>
      </c>
      <c r="E23" s="464" t="s">
        <v>559</v>
      </c>
      <c r="F23" s="663" t="s">
        <v>540</v>
      </c>
      <c r="G23" s="337"/>
      <c r="H23" s="51">
        <v>0</v>
      </c>
      <c r="I23" s="51">
        <v>0</v>
      </c>
      <c r="J23" s="450"/>
      <c r="K23" s="422"/>
    </row>
    <row r="24" spans="2:11" s="417" customFormat="1" x14ac:dyDescent="0.25">
      <c r="B24" s="421"/>
      <c r="C24" s="455" t="s">
        <v>560</v>
      </c>
      <c r="D24" s="51">
        <v>0.02</v>
      </c>
      <c r="E24" s="463" t="s">
        <v>561</v>
      </c>
      <c r="F24" s="663" t="s">
        <v>540</v>
      </c>
      <c r="G24" s="450"/>
      <c r="H24" s="51">
        <v>0</v>
      </c>
      <c r="I24" s="51">
        <v>0</v>
      </c>
      <c r="J24" s="81"/>
      <c r="K24" s="422"/>
    </row>
    <row r="25" spans="2:11" s="417" customFormat="1" x14ac:dyDescent="0.25">
      <c r="B25" s="421"/>
      <c r="C25" s="455" t="s">
        <v>562</v>
      </c>
      <c r="D25" s="126">
        <v>0.05</v>
      </c>
      <c r="E25" s="329" t="s">
        <v>563</v>
      </c>
      <c r="F25" s="663" t="s">
        <v>540</v>
      </c>
      <c r="G25" s="337"/>
      <c r="H25" s="51">
        <v>0</v>
      </c>
      <c r="I25" s="51">
        <v>0</v>
      </c>
      <c r="J25" s="449"/>
      <c r="K25" s="422"/>
    </row>
    <row r="26" spans="2:11" s="417" customFormat="1" ht="26.4" x14ac:dyDescent="0.25">
      <c r="B26" s="421"/>
      <c r="C26" s="455" t="s">
        <v>564</v>
      </c>
      <c r="D26" s="51">
        <v>0.02</v>
      </c>
      <c r="E26" s="463" t="s">
        <v>565</v>
      </c>
      <c r="F26" s="663" t="s">
        <v>540</v>
      </c>
      <c r="G26" s="450"/>
      <c r="H26" s="51">
        <v>0</v>
      </c>
      <c r="I26" s="51">
        <v>0</v>
      </c>
      <c r="J26" s="81"/>
      <c r="K26" s="422"/>
    </row>
    <row r="27" spans="2:11" s="417" customFormat="1" ht="26.4" x14ac:dyDescent="0.25">
      <c r="B27" s="421"/>
      <c r="C27" s="455" t="s">
        <v>566</v>
      </c>
      <c r="D27" s="126">
        <v>0.02</v>
      </c>
      <c r="E27" s="329" t="s">
        <v>567</v>
      </c>
      <c r="F27" s="663" t="s">
        <v>540</v>
      </c>
      <c r="G27" s="337"/>
      <c r="H27" s="51">
        <v>0</v>
      </c>
      <c r="I27" s="51">
        <v>0</v>
      </c>
      <c r="J27" s="449" t="s">
        <v>568</v>
      </c>
      <c r="K27" s="422"/>
    </row>
    <row r="28" spans="2:11" s="417" customFormat="1" ht="13.8" thickBot="1" x14ac:dyDescent="0.3">
      <c r="B28" s="421"/>
      <c r="C28" s="455" t="s">
        <v>569</v>
      </c>
      <c r="D28" s="126">
        <v>0.02</v>
      </c>
      <c r="E28" s="464" t="s">
        <v>570</v>
      </c>
      <c r="F28" s="663" t="s">
        <v>540</v>
      </c>
      <c r="G28" s="337"/>
      <c r="H28" s="51">
        <v>0</v>
      </c>
      <c r="I28" s="51">
        <v>0</v>
      </c>
      <c r="J28" s="450" t="s">
        <v>571</v>
      </c>
      <c r="K28" s="422"/>
    </row>
    <row r="29" spans="2:11" s="435" customFormat="1" ht="14.4" thickBot="1" x14ac:dyDescent="0.3">
      <c r="B29" s="432"/>
      <c r="C29" s="662" t="s">
        <v>55</v>
      </c>
      <c r="D29" s="30">
        <f>SUM(D19:D28)</f>
        <v>0.22999999999999995</v>
      </c>
      <c r="E29" s="779"/>
      <c r="F29" s="779"/>
      <c r="G29" s="779"/>
      <c r="H29" s="779"/>
      <c r="I29" s="62">
        <f>SUM(I19:I28)</f>
        <v>0</v>
      </c>
      <c r="J29" s="657"/>
      <c r="K29" s="434"/>
    </row>
    <row r="30" spans="2:11" s="404" customFormat="1" ht="16.2" thickBot="1" x14ac:dyDescent="0.35">
      <c r="B30" s="403"/>
      <c r="C30" s="784" t="s">
        <v>56</v>
      </c>
      <c r="D30" s="785"/>
      <c r="E30" s="785"/>
      <c r="F30" s="785"/>
      <c r="G30" s="785"/>
      <c r="H30" s="785"/>
      <c r="I30" s="785"/>
      <c r="J30" s="786"/>
      <c r="K30" s="431"/>
    </row>
    <row r="31" spans="2:11" ht="42" thickBot="1" x14ac:dyDescent="0.3">
      <c r="B31" s="405"/>
      <c r="C31" s="654" t="s">
        <v>36</v>
      </c>
      <c r="D31" s="448" t="s">
        <v>37</v>
      </c>
      <c r="E31" s="657" t="s">
        <v>38</v>
      </c>
      <c r="F31" s="656" t="s">
        <v>535</v>
      </c>
      <c r="G31" s="655" t="s">
        <v>39</v>
      </c>
      <c r="H31" s="448" t="s">
        <v>40</v>
      </c>
      <c r="I31" s="448" t="s">
        <v>41</v>
      </c>
      <c r="J31" s="657" t="s">
        <v>42</v>
      </c>
      <c r="K31" s="410"/>
    </row>
    <row r="32" spans="2:11" s="417" customFormat="1" ht="26.4" x14ac:dyDescent="0.25">
      <c r="B32" s="421"/>
      <c r="C32" s="458" t="s">
        <v>572</v>
      </c>
      <c r="D32" s="49">
        <v>7.0000000000000007E-2</v>
      </c>
      <c r="E32" s="465" t="s">
        <v>573</v>
      </c>
      <c r="F32" s="664" t="s">
        <v>540</v>
      </c>
      <c r="G32" s="73"/>
      <c r="H32" s="51">
        <v>0</v>
      </c>
      <c r="I32" s="60">
        <v>0</v>
      </c>
      <c r="J32" s="459"/>
      <c r="K32" s="422"/>
    </row>
    <row r="33" spans="2:12" s="417" customFormat="1" x14ac:dyDescent="0.25">
      <c r="B33" s="421"/>
      <c r="C33" s="455" t="s">
        <v>574</v>
      </c>
      <c r="D33" s="51">
        <v>0.04</v>
      </c>
      <c r="E33" s="465" t="s">
        <v>575</v>
      </c>
      <c r="F33" s="664" t="s">
        <v>540</v>
      </c>
      <c r="G33" s="78"/>
      <c r="H33" s="51">
        <v>0</v>
      </c>
      <c r="I33" s="51">
        <v>0</v>
      </c>
      <c r="J33" s="449"/>
      <c r="K33" s="422"/>
    </row>
    <row r="34" spans="2:12" s="417" customFormat="1" x14ac:dyDescent="0.25">
      <c r="B34" s="421"/>
      <c r="C34" s="455" t="s">
        <v>576</v>
      </c>
      <c r="D34" s="51">
        <v>0.03</v>
      </c>
      <c r="E34" s="466" t="s">
        <v>577</v>
      </c>
      <c r="F34" s="663" t="s">
        <v>540</v>
      </c>
      <c r="G34" s="78"/>
      <c r="H34" s="51">
        <v>0</v>
      </c>
      <c r="I34" s="72">
        <v>0</v>
      </c>
      <c r="J34" s="450"/>
      <c r="K34" s="422"/>
    </row>
    <row r="35" spans="2:12" s="417" customFormat="1" ht="13.8" thickBot="1" x14ac:dyDescent="0.3">
      <c r="B35" s="421"/>
      <c r="C35" s="455" t="s">
        <v>578</v>
      </c>
      <c r="D35" s="51">
        <v>0.03</v>
      </c>
      <c r="E35" s="665" t="s">
        <v>579</v>
      </c>
      <c r="F35" s="663" t="s">
        <v>540</v>
      </c>
      <c r="G35" s="78"/>
      <c r="H35" s="51">
        <v>0</v>
      </c>
      <c r="I35" s="51">
        <v>0</v>
      </c>
      <c r="J35" s="81"/>
      <c r="K35" s="422"/>
    </row>
    <row r="36" spans="2:12" s="435" customFormat="1" ht="14.4" thickBot="1" x14ac:dyDescent="0.3">
      <c r="B36" s="432"/>
      <c r="C36" s="662" t="s">
        <v>63</v>
      </c>
      <c r="D36" s="30">
        <f>SUM(D32:D35)</f>
        <v>0.17</v>
      </c>
      <c r="E36" s="779"/>
      <c r="F36" s="779"/>
      <c r="G36" s="779"/>
      <c r="H36" s="779"/>
      <c r="I36" s="29">
        <f>SUM(I32:I35)</f>
        <v>0</v>
      </c>
      <c r="J36" s="657"/>
      <c r="K36" s="434"/>
    </row>
    <row r="37" spans="2:12" s="404" customFormat="1" ht="16.2" thickBot="1" x14ac:dyDescent="0.35">
      <c r="B37" s="403"/>
      <c r="C37" s="781" t="s">
        <v>64</v>
      </c>
      <c r="D37" s="782"/>
      <c r="E37" s="782"/>
      <c r="F37" s="782"/>
      <c r="G37" s="782"/>
      <c r="H37" s="782"/>
      <c r="I37" s="782"/>
      <c r="J37" s="786"/>
      <c r="K37" s="431"/>
    </row>
    <row r="38" spans="2:12" ht="42" thickBot="1" x14ac:dyDescent="0.3">
      <c r="B38" s="405"/>
      <c r="C38" s="666" t="s">
        <v>36</v>
      </c>
      <c r="D38" s="448" t="s">
        <v>37</v>
      </c>
      <c r="E38" s="657" t="s">
        <v>38</v>
      </c>
      <c r="F38" s="656" t="s">
        <v>535</v>
      </c>
      <c r="G38" s="655" t="s">
        <v>39</v>
      </c>
      <c r="H38" s="448" t="s">
        <v>40</v>
      </c>
      <c r="I38" s="448" t="s">
        <v>41</v>
      </c>
      <c r="J38" s="667" t="s">
        <v>42</v>
      </c>
      <c r="K38" s="410"/>
    </row>
    <row r="39" spans="2:12" s="417" customFormat="1" x14ac:dyDescent="0.25">
      <c r="B39" s="411"/>
      <c r="C39" s="469" t="s">
        <v>94</v>
      </c>
      <c r="D39" s="51">
        <v>0.04</v>
      </c>
      <c r="E39" s="160" t="s">
        <v>580</v>
      </c>
      <c r="F39" s="663" t="s">
        <v>540</v>
      </c>
      <c r="G39" s="147"/>
      <c r="H39" s="51">
        <v>0</v>
      </c>
      <c r="I39" s="60">
        <v>0</v>
      </c>
      <c r="J39" s="470"/>
      <c r="K39" s="416"/>
      <c r="L39" s="439"/>
    </row>
    <row r="40" spans="2:12" s="417" customFormat="1" ht="39.6" x14ac:dyDescent="0.25">
      <c r="B40" s="411"/>
      <c r="C40" s="469" t="s">
        <v>581</v>
      </c>
      <c r="D40" s="51">
        <v>0.03</v>
      </c>
      <c r="E40" s="312" t="s">
        <v>861</v>
      </c>
      <c r="F40" s="663" t="s">
        <v>540</v>
      </c>
      <c r="G40" s="78"/>
      <c r="H40" s="51">
        <v>0</v>
      </c>
      <c r="I40" s="51">
        <v>0</v>
      </c>
      <c r="J40" s="470"/>
      <c r="K40" s="416"/>
      <c r="L40" s="439"/>
    </row>
    <row r="41" spans="2:12" s="417" customFormat="1" ht="13.8" thickBot="1" x14ac:dyDescent="0.3">
      <c r="B41" s="411"/>
      <c r="C41" s="469" t="s">
        <v>582</v>
      </c>
      <c r="D41" s="51">
        <v>0.03</v>
      </c>
      <c r="E41" s="312" t="s">
        <v>583</v>
      </c>
      <c r="F41" s="663" t="s">
        <v>540</v>
      </c>
      <c r="G41" s="251"/>
      <c r="H41" s="51">
        <v>0</v>
      </c>
      <c r="I41" s="51">
        <v>0</v>
      </c>
      <c r="J41" s="470"/>
      <c r="K41" s="416"/>
      <c r="L41" s="439"/>
    </row>
    <row r="42" spans="2:12" s="435" customFormat="1" ht="14.4" thickBot="1" x14ac:dyDescent="0.3">
      <c r="B42" s="432"/>
      <c r="C42" s="662" t="s">
        <v>70</v>
      </c>
      <c r="D42" s="30">
        <f>SUM(D39:D41)</f>
        <v>0.1</v>
      </c>
      <c r="E42" s="778"/>
      <c r="F42" s="779"/>
      <c r="G42" s="779"/>
      <c r="H42" s="780"/>
      <c r="I42" s="62">
        <f>SUM(I39:I41)</f>
        <v>0</v>
      </c>
      <c r="J42" s="655"/>
      <c r="K42" s="434"/>
    </row>
    <row r="43" spans="2:12" s="435" customFormat="1" ht="14.4" thickBot="1" x14ac:dyDescent="0.3">
      <c r="B43" s="432"/>
      <c r="C43" s="440" t="s">
        <v>71</v>
      </c>
      <c r="D43" s="37">
        <f>D42+D36+D29+D16</f>
        <v>1</v>
      </c>
      <c r="E43" s="799"/>
      <c r="F43" s="799"/>
      <c r="G43" s="799"/>
      <c r="H43" s="799"/>
      <c r="I43" s="799"/>
      <c r="J43" s="800"/>
      <c r="K43" s="434"/>
    </row>
    <row r="44" spans="2:12" s="435" customFormat="1" ht="14.4" thickBot="1" x14ac:dyDescent="0.3">
      <c r="B44" s="432"/>
      <c r="C44" s="801" t="s">
        <v>72</v>
      </c>
      <c r="D44" s="802"/>
      <c r="E44" s="802"/>
      <c r="F44" s="802"/>
      <c r="G44" s="803"/>
      <c r="H44" s="787">
        <f>I42+I36+I29+I16</f>
        <v>0</v>
      </c>
      <c r="I44" s="788"/>
      <c r="J44" s="789"/>
      <c r="K44" s="434"/>
    </row>
    <row r="45" spans="2:12" ht="10.35" customHeight="1" thickBot="1" x14ac:dyDescent="0.5">
      <c r="B45" s="441"/>
      <c r="C45" s="442"/>
      <c r="D45" s="442"/>
      <c r="E45" s="443"/>
      <c r="F45" s="668"/>
      <c r="G45" s="444"/>
      <c r="H45" s="445"/>
      <c r="I45" s="445"/>
      <c r="J45" s="446"/>
      <c r="K45" s="447"/>
    </row>
  </sheetData>
  <mergeCells count="14">
    <mergeCell ref="C44:G44"/>
    <mergeCell ref="H44:J44"/>
    <mergeCell ref="E29:H29"/>
    <mergeCell ref="C30:J30"/>
    <mergeCell ref="E36:H36"/>
    <mergeCell ref="C37:J37"/>
    <mergeCell ref="E42:H42"/>
    <mergeCell ref="E43:J43"/>
    <mergeCell ref="C17:J17"/>
    <mergeCell ref="C3:F3"/>
    <mergeCell ref="G3:J3"/>
    <mergeCell ref="G4:J4"/>
    <mergeCell ref="C5:J5"/>
    <mergeCell ref="E16:H16"/>
  </mergeCells>
  <conditionalFormatting sqref="D43">
    <cfRule type="cellIs" dxfId="29" priority="1" stopIfTrue="1" operator="greaterThan">
      <formula>1</formula>
    </cfRule>
    <cfRule type="cellIs" dxfId="28" priority="2" stopIfTrue="1" operator="lessThan">
      <formula>1</formula>
    </cfRule>
  </conditionalFormatting>
  <conditionalFormatting sqref="I16">
    <cfRule type="expression" dxfId="27" priority="3" stopIfTrue="1">
      <formula>"if($H$14/$D$14)&lt;80"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108E-2834-4CE9-AFF9-213B0BE19631}">
  <sheetPr codeName="Sheet18"/>
  <dimension ref="B1:L45"/>
  <sheetViews>
    <sheetView zoomScale="80" zoomScaleNormal="80" workbookViewId="0">
      <selection activeCell="E40" sqref="E40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2.21875" style="385" customWidth="1"/>
    <col min="4" max="4" width="15" style="385" customWidth="1"/>
    <col min="5" max="5" width="49.5546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36.77734375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10.35" customHeight="1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584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s="671" customFormat="1" ht="42" thickBot="1" x14ac:dyDescent="0.3">
      <c r="B6" s="669"/>
      <c r="C6" s="654" t="s">
        <v>36</v>
      </c>
      <c r="D6" s="448" t="s">
        <v>37</v>
      </c>
      <c r="E6" s="655" t="s">
        <v>38</v>
      </c>
      <c r="F6" s="656" t="s">
        <v>535</v>
      </c>
      <c r="G6" s="655" t="s">
        <v>39</v>
      </c>
      <c r="H6" s="448" t="s">
        <v>40</v>
      </c>
      <c r="I6" s="448" t="s">
        <v>41</v>
      </c>
      <c r="J6" s="657" t="s">
        <v>42</v>
      </c>
      <c r="K6" s="670"/>
    </row>
    <row r="7" spans="2:12" s="674" customFormat="1" x14ac:dyDescent="0.25">
      <c r="B7" s="672"/>
      <c r="C7" s="451" t="s">
        <v>536</v>
      </c>
      <c r="D7" s="39">
        <v>2.5000000000000001E-2</v>
      </c>
      <c r="E7" s="329" t="s">
        <v>125</v>
      </c>
      <c r="F7" s="658" t="s">
        <v>537</v>
      </c>
      <c r="G7" s="461"/>
      <c r="H7" s="79">
        <v>0</v>
      </c>
      <c r="I7" s="60">
        <v>0</v>
      </c>
      <c r="J7" s="659"/>
      <c r="K7" s="673"/>
    </row>
    <row r="8" spans="2:12" s="674" customFormat="1" ht="39.6" x14ac:dyDescent="0.25">
      <c r="B8" s="672"/>
      <c r="C8" s="452" t="s">
        <v>585</v>
      </c>
      <c r="D8" s="51">
        <v>0.1</v>
      </c>
      <c r="E8" s="456" t="s">
        <v>586</v>
      </c>
      <c r="F8" s="660" t="s">
        <v>540</v>
      </c>
      <c r="G8" s="462"/>
      <c r="H8" s="79">
        <v>0</v>
      </c>
      <c r="I8" s="51">
        <v>0</v>
      </c>
      <c r="J8" s="450"/>
      <c r="K8" s="673"/>
    </row>
    <row r="9" spans="2:12" s="674" customFormat="1" ht="39.6" x14ac:dyDescent="0.25">
      <c r="B9" s="453"/>
      <c r="C9" s="452" t="s">
        <v>587</v>
      </c>
      <c r="D9" s="51">
        <v>0.05</v>
      </c>
      <c r="E9" s="247" t="s">
        <v>588</v>
      </c>
      <c r="F9" s="660" t="s">
        <v>540</v>
      </c>
      <c r="G9" s="450"/>
      <c r="H9" s="79">
        <v>0</v>
      </c>
      <c r="I9" s="51">
        <v>0</v>
      </c>
      <c r="J9" s="450"/>
      <c r="K9" s="675"/>
    </row>
    <row r="10" spans="2:12" s="674" customFormat="1" ht="39.6" x14ac:dyDescent="0.25">
      <c r="B10" s="453"/>
      <c r="C10" s="452" t="s">
        <v>589</v>
      </c>
      <c r="D10" s="51">
        <v>0.05</v>
      </c>
      <c r="E10" s="247" t="s">
        <v>590</v>
      </c>
      <c r="F10" s="660" t="s">
        <v>540</v>
      </c>
      <c r="G10" s="450"/>
      <c r="H10" s="79">
        <v>0</v>
      </c>
      <c r="I10" s="51">
        <v>0</v>
      </c>
      <c r="J10" s="450"/>
      <c r="K10" s="675"/>
    </row>
    <row r="11" spans="2:12" s="674" customFormat="1" ht="26.4" x14ac:dyDescent="0.25">
      <c r="B11" s="672"/>
      <c r="C11" s="453" t="s">
        <v>591</v>
      </c>
      <c r="D11" s="51">
        <v>0.05</v>
      </c>
      <c r="E11" s="247" t="s">
        <v>592</v>
      </c>
      <c r="F11" s="660" t="s">
        <v>540</v>
      </c>
      <c r="G11" s="450"/>
      <c r="H11" s="79">
        <v>0</v>
      </c>
      <c r="I11" s="51">
        <v>0</v>
      </c>
      <c r="J11" s="450"/>
      <c r="K11" s="673"/>
    </row>
    <row r="12" spans="2:12" s="674" customFormat="1" ht="39.6" x14ac:dyDescent="0.25">
      <c r="B12" s="672"/>
      <c r="C12" s="452" t="s">
        <v>127</v>
      </c>
      <c r="D12" s="51">
        <v>7.4999999999999997E-2</v>
      </c>
      <c r="E12" s="456" t="s">
        <v>593</v>
      </c>
      <c r="F12" s="660" t="s">
        <v>540</v>
      </c>
      <c r="G12" s="462"/>
      <c r="H12" s="79">
        <v>0</v>
      </c>
      <c r="I12" s="51">
        <v>0</v>
      </c>
      <c r="J12" s="450"/>
      <c r="K12" s="673"/>
    </row>
    <row r="13" spans="2:12" s="674" customFormat="1" ht="39.6" x14ac:dyDescent="0.25">
      <c r="B13" s="453"/>
      <c r="C13" s="452" t="s">
        <v>81</v>
      </c>
      <c r="D13" s="51">
        <v>2.5000000000000001E-2</v>
      </c>
      <c r="E13" s="468" t="s">
        <v>594</v>
      </c>
      <c r="F13" s="660" t="s">
        <v>540</v>
      </c>
      <c r="G13" s="450"/>
      <c r="H13" s="79">
        <v>0</v>
      </c>
      <c r="I13" s="51">
        <v>0</v>
      </c>
      <c r="J13" s="450"/>
      <c r="K13" s="675"/>
    </row>
    <row r="14" spans="2:12" s="674" customFormat="1" ht="26.4" x14ac:dyDescent="0.25">
      <c r="B14" s="672"/>
      <c r="C14" s="453" t="s">
        <v>129</v>
      </c>
      <c r="D14" s="51">
        <v>0.05</v>
      </c>
      <c r="E14" s="247" t="s">
        <v>595</v>
      </c>
      <c r="F14" s="660" t="s">
        <v>540</v>
      </c>
      <c r="G14" s="450"/>
      <c r="H14" s="79">
        <v>0</v>
      </c>
      <c r="I14" s="51">
        <v>0</v>
      </c>
      <c r="J14" s="450"/>
      <c r="K14" s="673"/>
    </row>
    <row r="15" spans="2:12" s="674" customFormat="1" ht="27" thickBot="1" x14ac:dyDescent="0.3">
      <c r="B15" s="453"/>
      <c r="C15" s="452" t="s">
        <v>130</v>
      </c>
      <c r="D15" s="51">
        <v>7.4999999999999997E-2</v>
      </c>
      <c r="E15" s="457" t="s">
        <v>596</v>
      </c>
      <c r="F15" s="660" t="s">
        <v>540</v>
      </c>
      <c r="G15" s="661"/>
      <c r="H15" s="79">
        <v>0</v>
      </c>
      <c r="I15" s="53">
        <v>0</v>
      </c>
      <c r="J15" s="81"/>
      <c r="K15" s="675"/>
    </row>
    <row r="16" spans="2:12" s="678" customFormat="1" ht="14.4" thickBot="1" x14ac:dyDescent="0.3">
      <c r="B16" s="676"/>
      <c r="C16" s="662" t="s">
        <v>49</v>
      </c>
      <c r="D16" s="30">
        <f>SUM(D7:D15)</f>
        <v>0.5</v>
      </c>
      <c r="E16" s="779"/>
      <c r="F16" s="779"/>
      <c r="G16" s="779"/>
      <c r="H16" s="779"/>
      <c r="I16" s="82">
        <f>SUM(I7:I15)</f>
        <v>0</v>
      </c>
      <c r="J16" s="657"/>
      <c r="K16" s="677"/>
    </row>
    <row r="17" spans="2:11" s="681" customFormat="1" ht="16.2" thickBot="1" x14ac:dyDescent="0.35">
      <c r="B17" s="679"/>
      <c r="C17" s="784" t="s">
        <v>50</v>
      </c>
      <c r="D17" s="785"/>
      <c r="E17" s="785"/>
      <c r="F17" s="785"/>
      <c r="G17" s="785"/>
      <c r="H17" s="785"/>
      <c r="I17" s="785"/>
      <c r="J17" s="786"/>
      <c r="K17" s="680"/>
    </row>
    <row r="18" spans="2:11" s="671" customFormat="1" ht="42" thickBot="1" x14ac:dyDescent="0.3">
      <c r="B18" s="669"/>
      <c r="C18" s="654" t="s">
        <v>36</v>
      </c>
      <c r="D18" s="448" t="s">
        <v>37</v>
      </c>
      <c r="E18" s="657" t="s">
        <v>38</v>
      </c>
      <c r="F18" s="656" t="s">
        <v>535</v>
      </c>
      <c r="G18" s="655" t="s">
        <v>39</v>
      </c>
      <c r="H18" s="448" t="s">
        <v>40</v>
      </c>
      <c r="I18" s="448" t="s">
        <v>41</v>
      </c>
      <c r="J18" s="657" t="s">
        <v>42</v>
      </c>
      <c r="K18" s="670"/>
    </row>
    <row r="19" spans="2:11" s="674" customFormat="1" ht="26.4" x14ac:dyDescent="0.25">
      <c r="B19" s="453"/>
      <c r="C19" s="454" t="s">
        <v>597</v>
      </c>
      <c r="D19" s="49">
        <v>0.02</v>
      </c>
      <c r="E19" s="329" t="s">
        <v>553</v>
      </c>
      <c r="F19" s="663" t="s">
        <v>540</v>
      </c>
      <c r="G19" s="461"/>
      <c r="H19" s="51">
        <v>0</v>
      </c>
      <c r="I19" s="60">
        <v>0</v>
      </c>
      <c r="J19" s="459"/>
      <c r="K19" s="675"/>
    </row>
    <row r="20" spans="2:11" s="674" customFormat="1" x14ac:dyDescent="0.25">
      <c r="B20" s="453"/>
      <c r="C20" s="455" t="s">
        <v>598</v>
      </c>
      <c r="D20" s="51">
        <v>0.02</v>
      </c>
      <c r="E20" s="329" t="s">
        <v>135</v>
      </c>
      <c r="F20" s="663" t="s">
        <v>540</v>
      </c>
      <c r="G20" s="462"/>
      <c r="H20" s="51">
        <v>0</v>
      </c>
      <c r="I20" s="51">
        <v>0</v>
      </c>
      <c r="J20" s="449"/>
      <c r="K20" s="675"/>
    </row>
    <row r="21" spans="2:11" s="674" customFormat="1" ht="26.4" x14ac:dyDescent="0.25">
      <c r="B21" s="453"/>
      <c r="C21" s="455" t="s">
        <v>599</v>
      </c>
      <c r="D21" s="51">
        <v>0.02</v>
      </c>
      <c r="E21" s="329" t="s">
        <v>556</v>
      </c>
      <c r="F21" s="663" t="s">
        <v>540</v>
      </c>
      <c r="G21" s="462"/>
      <c r="H21" s="51">
        <v>0</v>
      </c>
      <c r="I21" s="51">
        <v>0</v>
      </c>
      <c r="J21" s="449"/>
      <c r="K21" s="675"/>
    </row>
    <row r="22" spans="2:11" s="674" customFormat="1" x14ac:dyDescent="0.25">
      <c r="B22" s="453"/>
      <c r="C22" s="455" t="s">
        <v>139</v>
      </c>
      <c r="D22" s="51">
        <v>0.01</v>
      </c>
      <c r="E22" s="329" t="s">
        <v>557</v>
      </c>
      <c r="F22" s="663" t="s">
        <v>540</v>
      </c>
      <c r="G22" s="462"/>
      <c r="H22" s="51">
        <v>0</v>
      </c>
      <c r="I22" s="51">
        <v>0</v>
      </c>
      <c r="J22" s="449"/>
      <c r="K22" s="675"/>
    </row>
    <row r="23" spans="2:11" s="674" customFormat="1" ht="26.4" x14ac:dyDescent="0.25">
      <c r="B23" s="453"/>
      <c r="C23" s="455" t="s">
        <v>600</v>
      </c>
      <c r="D23" s="126">
        <v>0.03</v>
      </c>
      <c r="E23" s="329" t="s">
        <v>601</v>
      </c>
      <c r="F23" s="663"/>
      <c r="G23" s="337"/>
      <c r="H23" s="51">
        <v>0</v>
      </c>
      <c r="I23" s="51">
        <v>0</v>
      </c>
      <c r="J23" s="450" t="s">
        <v>602</v>
      </c>
      <c r="K23" s="675"/>
    </row>
    <row r="24" spans="2:11" s="674" customFormat="1" x14ac:dyDescent="0.25">
      <c r="B24" s="453"/>
      <c r="C24" s="455" t="s">
        <v>560</v>
      </c>
      <c r="D24" s="51">
        <v>0.02</v>
      </c>
      <c r="E24" s="463" t="s">
        <v>603</v>
      </c>
      <c r="F24" s="663"/>
      <c r="G24" s="450"/>
      <c r="H24" s="51">
        <v>0</v>
      </c>
      <c r="I24" s="51">
        <v>0</v>
      </c>
      <c r="J24" s="81"/>
      <c r="K24" s="675"/>
    </row>
    <row r="25" spans="2:11" s="674" customFormat="1" x14ac:dyDescent="0.25">
      <c r="B25" s="453"/>
      <c r="C25" s="455" t="s">
        <v>604</v>
      </c>
      <c r="D25" s="126">
        <v>0.05</v>
      </c>
      <c r="E25" s="329" t="s">
        <v>605</v>
      </c>
      <c r="F25" s="663"/>
      <c r="G25" s="337"/>
      <c r="H25" s="51">
        <v>0</v>
      </c>
      <c r="I25" s="51">
        <v>0</v>
      </c>
      <c r="J25" s="449"/>
      <c r="K25" s="675"/>
    </row>
    <row r="26" spans="2:11" s="674" customFormat="1" ht="26.4" x14ac:dyDescent="0.25">
      <c r="B26" s="453"/>
      <c r="C26" s="455" t="s">
        <v>606</v>
      </c>
      <c r="D26" s="51">
        <v>0.02</v>
      </c>
      <c r="E26" s="463" t="s">
        <v>607</v>
      </c>
      <c r="F26" s="663"/>
      <c r="G26" s="450"/>
      <c r="H26" s="51">
        <v>0</v>
      </c>
      <c r="I26" s="51">
        <v>0</v>
      </c>
      <c r="J26" s="81"/>
      <c r="K26" s="675"/>
    </row>
    <row r="27" spans="2:11" s="674" customFormat="1" ht="26.4" x14ac:dyDescent="0.25">
      <c r="B27" s="453"/>
      <c r="C27" s="455" t="s">
        <v>608</v>
      </c>
      <c r="D27" s="126">
        <v>0.02</v>
      </c>
      <c r="E27" s="329" t="s">
        <v>567</v>
      </c>
      <c r="F27" s="663"/>
      <c r="G27" s="337"/>
      <c r="H27" s="51">
        <v>0</v>
      </c>
      <c r="I27" s="51">
        <v>0</v>
      </c>
      <c r="J27" s="449" t="s">
        <v>568</v>
      </c>
      <c r="K27" s="675"/>
    </row>
    <row r="28" spans="2:11" s="674" customFormat="1" ht="27" thickBot="1" x14ac:dyDescent="0.3">
      <c r="B28" s="453"/>
      <c r="C28" s="455" t="s">
        <v>609</v>
      </c>
      <c r="D28" s="126">
        <v>0.02</v>
      </c>
      <c r="E28" s="464" t="s">
        <v>570</v>
      </c>
      <c r="F28" s="663"/>
      <c r="G28" s="337"/>
      <c r="H28" s="51">
        <v>0</v>
      </c>
      <c r="I28" s="51">
        <v>0</v>
      </c>
      <c r="J28" s="450" t="s">
        <v>610</v>
      </c>
      <c r="K28" s="675"/>
    </row>
    <row r="29" spans="2:11" s="684" customFormat="1" ht="14.4" thickBot="1" x14ac:dyDescent="0.3">
      <c r="B29" s="682"/>
      <c r="C29" s="662" t="s">
        <v>55</v>
      </c>
      <c r="D29" s="30">
        <f>SUM(D19:D28)</f>
        <v>0.22999999999999995</v>
      </c>
      <c r="E29" s="779"/>
      <c r="F29" s="779"/>
      <c r="G29" s="779"/>
      <c r="H29" s="779"/>
      <c r="I29" s="62">
        <f>SUM(I19:I28)</f>
        <v>0</v>
      </c>
      <c r="J29" s="657"/>
      <c r="K29" s="683"/>
    </row>
    <row r="30" spans="2:11" s="681" customFormat="1" ht="16.2" thickBot="1" x14ac:dyDescent="0.35">
      <c r="B30" s="679"/>
      <c r="C30" s="784" t="s">
        <v>56</v>
      </c>
      <c r="D30" s="785"/>
      <c r="E30" s="785"/>
      <c r="F30" s="785"/>
      <c r="G30" s="785"/>
      <c r="H30" s="785"/>
      <c r="I30" s="785"/>
      <c r="J30" s="786"/>
      <c r="K30" s="680"/>
    </row>
    <row r="31" spans="2:11" s="671" customFormat="1" ht="42" thickBot="1" x14ac:dyDescent="0.3">
      <c r="B31" s="669"/>
      <c r="C31" s="654" t="s">
        <v>36</v>
      </c>
      <c r="D31" s="448" t="s">
        <v>37</v>
      </c>
      <c r="E31" s="657" t="s">
        <v>38</v>
      </c>
      <c r="F31" s="656" t="s">
        <v>535</v>
      </c>
      <c r="G31" s="655" t="s">
        <v>39</v>
      </c>
      <c r="H31" s="448" t="s">
        <v>40</v>
      </c>
      <c r="I31" s="448" t="s">
        <v>41</v>
      </c>
      <c r="J31" s="657" t="s">
        <v>42</v>
      </c>
      <c r="K31" s="670"/>
    </row>
    <row r="32" spans="2:11" s="674" customFormat="1" ht="52.8" x14ac:dyDescent="0.25">
      <c r="B32" s="453"/>
      <c r="C32" s="458" t="s">
        <v>611</v>
      </c>
      <c r="D32" s="49">
        <v>7.0000000000000007E-2</v>
      </c>
      <c r="E32" s="465" t="s">
        <v>612</v>
      </c>
      <c r="F32" s="664" t="s">
        <v>540</v>
      </c>
      <c r="G32" s="73"/>
      <c r="H32" s="51">
        <v>0</v>
      </c>
      <c r="I32" s="60">
        <v>0</v>
      </c>
      <c r="J32" s="459"/>
      <c r="K32" s="675"/>
    </row>
    <row r="33" spans="2:12" s="674" customFormat="1" ht="26.4" x14ac:dyDescent="0.25">
      <c r="B33" s="453"/>
      <c r="C33" s="455" t="s">
        <v>613</v>
      </c>
      <c r="D33" s="51">
        <v>0.04</v>
      </c>
      <c r="E33" s="465" t="s">
        <v>614</v>
      </c>
      <c r="F33" s="664" t="s">
        <v>540</v>
      </c>
      <c r="G33" s="78"/>
      <c r="H33" s="51">
        <v>0</v>
      </c>
      <c r="I33" s="51">
        <v>0</v>
      </c>
      <c r="J33" s="449"/>
      <c r="K33" s="675"/>
    </row>
    <row r="34" spans="2:12" s="674" customFormat="1" ht="26.4" x14ac:dyDescent="0.25">
      <c r="B34" s="453"/>
      <c r="C34" s="455" t="s">
        <v>576</v>
      </c>
      <c r="D34" s="51">
        <v>0.03</v>
      </c>
      <c r="E34" s="466" t="s">
        <v>615</v>
      </c>
      <c r="F34" s="663" t="s">
        <v>540</v>
      </c>
      <c r="G34" s="78"/>
      <c r="H34" s="51">
        <v>0</v>
      </c>
      <c r="I34" s="72">
        <v>0</v>
      </c>
      <c r="J34" s="450"/>
      <c r="K34" s="675"/>
    </row>
    <row r="35" spans="2:12" s="674" customFormat="1" ht="13.8" thickBot="1" x14ac:dyDescent="0.3">
      <c r="B35" s="453"/>
      <c r="C35" s="455" t="s">
        <v>578</v>
      </c>
      <c r="D35" s="51">
        <v>0.03</v>
      </c>
      <c r="E35" s="665" t="s">
        <v>616</v>
      </c>
      <c r="F35" s="663" t="s">
        <v>540</v>
      </c>
      <c r="G35" s="78"/>
      <c r="H35" s="51">
        <v>0</v>
      </c>
      <c r="I35" s="51">
        <v>0</v>
      </c>
      <c r="J35" s="81"/>
      <c r="K35" s="675"/>
    </row>
    <row r="36" spans="2:12" s="684" customFormat="1" ht="14.4" thickBot="1" x14ac:dyDescent="0.3">
      <c r="B36" s="682"/>
      <c r="C36" s="662" t="s">
        <v>63</v>
      </c>
      <c r="D36" s="30">
        <f>SUM(D32:D35)</f>
        <v>0.17</v>
      </c>
      <c r="E36" s="779"/>
      <c r="F36" s="779"/>
      <c r="G36" s="779"/>
      <c r="H36" s="779"/>
      <c r="I36" s="29">
        <f>SUM(I32:I35)</f>
        <v>0</v>
      </c>
      <c r="J36" s="657"/>
      <c r="K36" s="683"/>
    </row>
    <row r="37" spans="2:12" s="681" customFormat="1" ht="16.2" thickBot="1" x14ac:dyDescent="0.35">
      <c r="B37" s="679"/>
      <c r="C37" s="781" t="s">
        <v>64</v>
      </c>
      <c r="D37" s="782"/>
      <c r="E37" s="782"/>
      <c r="F37" s="782"/>
      <c r="G37" s="782"/>
      <c r="H37" s="782"/>
      <c r="I37" s="782"/>
      <c r="J37" s="786"/>
      <c r="K37" s="680"/>
    </row>
    <row r="38" spans="2:12" s="671" customFormat="1" ht="42" thickBot="1" x14ac:dyDescent="0.3">
      <c r="B38" s="669"/>
      <c r="C38" s="666" t="s">
        <v>36</v>
      </c>
      <c r="D38" s="448" t="s">
        <v>37</v>
      </c>
      <c r="E38" s="657" t="s">
        <v>38</v>
      </c>
      <c r="F38" s="656" t="s">
        <v>535</v>
      </c>
      <c r="G38" s="655" t="s">
        <v>39</v>
      </c>
      <c r="H38" s="448" t="s">
        <v>40</v>
      </c>
      <c r="I38" s="448" t="s">
        <v>41</v>
      </c>
      <c r="J38" s="667" t="s">
        <v>42</v>
      </c>
      <c r="K38" s="670"/>
    </row>
    <row r="39" spans="2:12" s="674" customFormat="1" ht="26.4" x14ac:dyDescent="0.25">
      <c r="B39" s="672"/>
      <c r="C39" s="469" t="s">
        <v>94</v>
      </c>
      <c r="D39" s="51">
        <v>0.04</v>
      </c>
      <c r="E39" s="160" t="s">
        <v>617</v>
      </c>
      <c r="F39" s="663" t="s">
        <v>540</v>
      </c>
      <c r="G39" s="147"/>
      <c r="H39" s="51">
        <v>0</v>
      </c>
      <c r="I39" s="60">
        <v>0</v>
      </c>
      <c r="J39" s="470"/>
      <c r="K39" s="673"/>
      <c r="L39" s="685"/>
    </row>
    <row r="40" spans="2:12" s="674" customFormat="1" ht="39.6" x14ac:dyDescent="0.25">
      <c r="B40" s="672"/>
      <c r="C40" s="469" t="s">
        <v>581</v>
      </c>
      <c r="D40" s="51">
        <v>0.03</v>
      </c>
      <c r="E40" s="312" t="s">
        <v>862</v>
      </c>
      <c r="F40" s="663" t="s">
        <v>540</v>
      </c>
      <c r="G40" s="78"/>
      <c r="H40" s="51">
        <v>0</v>
      </c>
      <c r="I40" s="51">
        <v>0</v>
      </c>
      <c r="J40" s="470"/>
      <c r="K40" s="673"/>
      <c r="L40" s="685"/>
    </row>
    <row r="41" spans="2:12" s="674" customFormat="1" ht="13.8" thickBot="1" x14ac:dyDescent="0.3">
      <c r="B41" s="672"/>
      <c r="C41" s="469" t="s">
        <v>582</v>
      </c>
      <c r="D41" s="51">
        <v>0.03</v>
      </c>
      <c r="E41" s="312" t="s">
        <v>618</v>
      </c>
      <c r="F41" s="663" t="s">
        <v>540</v>
      </c>
      <c r="G41" s="251"/>
      <c r="H41" s="51">
        <v>0</v>
      </c>
      <c r="I41" s="51">
        <v>0</v>
      </c>
      <c r="J41" s="470"/>
      <c r="K41" s="673"/>
      <c r="L41" s="685"/>
    </row>
    <row r="42" spans="2:12" s="435" customFormat="1" ht="14.4" thickBot="1" x14ac:dyDescent="0.3">
      <c r="B42" s="432"/>
      <c r="C42" s="426" t="s">
        <v>70</v>
      </c>
      <c r="D42" s="30">
        <f>SUM(D39:D41)</f>
        <v>0.1</v>
      </c>
      <c r="E42" s="778"/>
      <c r="F42" s="779"/>
      <c r="G42" s="779"/>
      <c r="H42" s="780"/>
      <c r="I42" s="62">
        <f>SUM(I39:I41)</f>
        <v>0</v>
      </c>
      <c r="J42" s="655"/>
      <c r="K42" s="434"/>
    </row>
    <row r="43" spans="2:12" s="435" customFormat="1" ht="14.4" thickBot="1" x14ac:dyDescent="0.3">
      <c r="B43" s="432"/>
      <c r="C43" s="440" t="s">
        <v>71</v>
      </c>
      <c r="D43" s="37">
        <f>D42+D36+D29+D16</f>
        <v>1</v>
      </c>
      <c r="E43" s="799"/>
      <c r="F43" s="799"/>
      <c r="G43" s="799"/>
      <c r="H43" s="799"/>
      <c r="I43" s="799"/>
      <c r="J43" s="800"/>
      <c r="K43" s="434"/>
    </row>
    <row r="44" spans="2:12" s="435" customFormat="1" ht="14.4" thickBot="1" x14ac:dyDescent="0.3">
      <c r="B44" s="432"/>
      <c r="C44" s="801" t="s">
        <v>72</v>
      </c>
      <c r="D44" s="802"/>
      <c r="E44" s="802"/>
      <c r="F44" s="802"/>
      <c r="G44" s="803"/>
      <c r="H44" s="787">
        <f>I42+I36+I29+I16</f>
        <v>0</v>
      </c>
      <c r="I44" s="788"/>
      <c r="J44" s="789"/>
      <c r="K44" s="434"/>
    </row>
    <row r="45" spans="2:12" ht="9.6" customHeight="1" thickBot="1" x14ac:dyDescent="0.5">
      <c r="B45" s="441"/>
      <c r="C45" s="442"/>
      <c r="D45" s="442"/>
      <c r="E45" s="443"/>
      <c r="F45" s="668"/>
      <c r="G45" s="444"/>
      <c r="H45" s="445"/>
      <c r="I45" s="445"/>
      <c r="J45" s="446"/>
      <c r="K45" s="447"/>
    </row>
  </sheetData>
  <mergeCells count="14">
    <mergeCell ref="C44:G44"/>
    <mergeCell ref="H44:J44"/>
    <mergeCell ref="E29:H29"/>
    <mergeCell ref="C30:J30"/>
    <mergeCell ref="E36:H36"/>
    <mergeCell ref="C37:J37"/>
    <mergeCell ref="E42:H42"/>
    <mergeCell ref="E43:J43"/>
    <mergeCell ref="C17:J17"/>
    <mergeCell ref="C3:F3"/>
    <mergeCell ref="G3:J3"/>
    <mergeCell ref="G4:J4"/>
    <mergeCell ref="C5:J5"/>
    <mergeCell ref="E16:H16"/>
  </mergeCells>
  <conditionalFormatting sqref="D43">
    <cfRule type="cellIs" dxfId="26" priority="1" stopIfTrue="1" operator="greaterThan">
      <formula>1</formula>
    </cfRule>
    <cfRule type="cellIs" dxfId="25" priority="2" stopIfTrue="1" operator="lessThan">
      <formula>1</formula>
    </cfRule>
  </conditionalFormatting>
  <conditionalFormatting sqref="I16">
    <cfRule type="expression" dxfId="24" priority="3" stopIfTrue="1">
      <formula>"if($H$14/$D$14)&lt;80"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91F9-F2EB-48FE-970F-70B594187A51}">
  <sheetPr codeName="Sheet19"/>
  <dimension ref="B1:L45"/>
  <sheetViews>
    <sheetView zoomScale="80" zoomScaleNormal="80" workbookViewId="0">
      <selection activeCell="E40" sqref="E40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2.21875" style="385" customWidth="1"/>
    <col min="4" max="4" width="15" style="385" customWidth="1"/>
    <col min="5" max="5" width="49.5546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36.77734375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9.6" customHeight="1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619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s="671" customFormat="1" ht="42" thickBot="1" x14ac:dyDescent="0.3">
      <c r="B6" s="669"/>
      <c r="C6" s="654" t="s">
        <v>36</v>
      </c>
      <c r="D6" s="448" t="s">
        <v>37</v>
      </c>
      <c r="E6" s="655" t="s">
        <v>38</v>
      </c>
      <c r="F6" s="656" t="s">
        <v>535</v>
      </c>
      <c r="G6" s="655" t="s">
        <v>39</v>
      </c>
      <c r="H6" s="448" t="s">
        <v>40</v>
      </c>
      <c r="I6" s="448" t="s">
        <v>41</v>
      </c>
      <c r="J6" s="657" t="s">
        <v>42</v>
      </c>
      <c r="K6" s="670"/>
    </row>
    <row r="7" spans="2:12" s="674" customFormat="1" x14ac:dyDescent="0.25">
      <c r="B7" s="672"/>
      <c r="C7" s="451" t="s">
        <v>620</v>
      </c>
      <c r="D7" s="39">
        <v>2.5000000000000001E-2</v>
      </c>
      <c r="E7" s="329" t="s">
        <v>125</v>
      </c>
      <c r="F7" s="658"/>
      <c r="G7" s="461"/>
      <c r="H7" s="79">
        <v>0</v>
      </c>
      <c r="I7" s="60">
        <v>0</v>
      </c>
      <c r="J7" s="659"/>
      <c r="K7" s="673"/>
    </row>
    <row r="8" spans="2:12" s="674" customFormat="1" ht="26.4" x14ac:dyDescent="0.25">
      <c r="B8" s="672"/>
      <c r="C8" s="452" t="s">
        <v>621</v>
      </c>
      <c r="D8" s="51">
        <v>0.1</v>
      </c>
      <c r="E8" s="703" t="s">
        <v>622</v>
      </c>
      <c r="F8" s="660"/>
      <c r="G8" s="462"/>
      <c r="H8" s="79">
        <v>0</v>
      </c>
      <c r="I8" s="51">
        <v>0</v>
      </c>
      <c r="J8" s="450"/>
      <c r="K8" s="673"/>
    </row>
    <row r="9" spans="2:12" s="674" customFormat="1" x14ac:dyDescent="0.25">
      <c r="B9" s="453"/>
      <c r="C9" s="452" t="s">
        <v>623</v>
      </c>
      <c r="D9" s="51">
        <v>0.05</v>
      </c>
      <c r="E9" s="724" t="s">
        <v>624</v>
      </c>
      <c r="F9" s="660"/>
      <c r="G9" s="450"/>
      <c r="H9" s="79">
        <v>0</v>
      </c>
      <c r="I9" s="51">
        <v>0</v>
      </c>
      <c r="J9" s="450"/>
      <c r="K9" s="675"/>
    </row>
    <row r="10" spans="2:12" s="674" customFormat="1" x14ac:dyDescent="0.25">
      <c r="B10" s="453"/>
      <c r="C10" s="452" t="s">
        <v>625</v>
      </c>
      <c r="D10" s="51">
        <v>0.05</v>
      </c>
      <c r="E10" s="724" t="s">
        <v>626</v>
      </c>
      <c r="F10" s="660"/>
      <c r="G10" s="450"/>
      <c r="H10" s="79">
        <v>0</v>
      </c>
      <c r="I10" s="51">
        <v>0</v>
      </c>
      <c r="J10" s="450"/>
      <c r="K10" s="675"/>
    </row>
    <row r="11" spans="2:12" s="674" customFormat="1" ht="39.6" x14ac:dyDescent="0.25">
      <c r="B11" s="672"/>
      <c r="C11" s="453" t="s">
        <v>627</v>
      </c>
      <c r="D11" s="51">
        <v>0.05</v>
      </c>
      <c r="E11" s="724" t="s">
        <v>628</v>
      </c>
      <c r="F11" s="686" t="s">
        <v>629</v>
      </c>
      <c r="G11" s="450"/>
      <c r="H11" s="79">
        <v>0</v>
      </c>
      <c r="I11" s="51">
        <v>0</v>
      </c>
      <c r="J11" s="450"/>
      <c r="K11" s="673"/>
    </row>
    <row r="12" spans="2:12" s="674" customFormat="1" ht="26.4" x14ac:dyDescent="0.25">
      <c r="B12" s="672"/>
      <c r="C12" s="452" t="s">
        <v>630</v>
      </c>
      <c r="D12" s="51">
        <v>7.4999999999999997E-2</v>
      </c>
      <c r="E12" s="703" t="s">
        <v>631</v>
      </c>
      <c r="F12" s="660"/>
      <c r="G12" s="462"/>
      <c r="H12" s="79">
        <v>0</v>
      </c>
      <c r="I12" s="51">
        <v>0</v>
      </c>
      <c r="J12" s="450"/>
      <c r="K12" s="673"/>
    </row>
    <row r="13" spans="2:12" s="674" customFormat="1" ht="39.6" x14ac:dyDescent="0.25">
      <c r="B13" s="453"/>
      <c r="C13" s="452" t="s">
        <v>632</v>
      </c>
      <c r="D13" s="51">
        <v>2.5000000000000001E-2</v>
      </c>
      <c r="E13" s="725" t="s">
        <v>633</v>
      </c>
      <c r="F13" s="660"/>
      <c r="G13" s="450"/>
      <c r="H13" s="79">
        <v>0</v>
      </c>
      <c r="I13" s="51">
        <v>0</v>
      </c>
      <c r="J13" s="450"/>
      <c r="K13" s="675"/>
    </row>
    <row r="14" spans="2:12" s="674" customFormat="1" ht="26.4" x14ac:dyDescent="0.25">
      <c r="B14" s="672"/>
      <c r="C14" s="453" t="s">
        <v>634</v>
      </c>
      <c r="D14" s="51">
        <v>0.05</v>
      </c>
      <c r="E14" s="724" t="s">
        <v>635</v>
      </c>
      <c r="F14" s="660"/>
      <c r="G14" s="450"/>
      <c r="H14" s="79">
        <v>0</v>
      </c>
      <c r="I14" s="51">
        <v>0</v>
      </c>
      <c r="J14" s="450"/>
      <c r="K14" s="673"/>
    </row>
    <row r="15" spans="2:12" s="674" customFormat="1" ht="40.200000000000003" thickBot="1" x14ac:dyDescent="0.3">
      <c r="B15" s="453"/>
      <c r="C15" s="452" t="s">
        <v>636</v>
      </c>
      <c r="D15" s="51">
        <v>7.4999999999999997E-2</v>
      </c>
      <c r="E15" s="457" t="s">
        <v>637</v>
      </c>
      <c r="F15" s="686" t="s">
        <v>638</v>
      </c>
      <c r="G15" s="661"/>
      <c r="H15" s="79">
        <v>0</v>
      </c>
      <c r="I15" s="53">
        <v>0</v>
      </c>
      <c r="J15" s="81"/>
      <c r="K15" s="675"/>
    </row>
    <row r="16" spans="2:12" s="678" customFormat="1" ht="14.4" thickBot="1" x14ac:dyDescent="0.3">
      <c r="B16" s="676"/>
      <c r="C16" s="662" t="s">
        <v>49</v>
      </c>
      <c r="D16" s="30">
        <f>SUM(D7:D15)</f>
        <v>0.5</v>
      </c>
      <c r="E16" s="779"/>
      <c r="F16" s="779"/>
      <c r="G16" s="779"/>
      <c r="H16" s="779"/>
      <c r="I16" s="82">
        <f>SUM(I7:I15)</f>
        <v>0</v>
      </c>
      <c r="J16" s="657"/>
      <c r="K16" s="677"/>
    </row>
    <row r="17" spans="2:12" s="681" customFormat="1" ht="16.2" thickBot="1" x14ac:dyDescent="0.35">
      <c r="B17" s="679"/>
      <c r="C17" s="784" t="s">
        <v>50</v>
      </c>
      <c r="D17" s="785"/>
      <c r="E17" s="785"/>
      <c r="F17" s="785"/>
      <c r="G17" s="785"/>
      <c r="H17" s="785"/>
      <c r="I17" s="785"/>
      <c r="J17" s="786"/>
      <c r="K17" s="680"/>
    </row>
    <row r="18" spans="2:12" s="671" customFormat="1" ht="42" thickBot="1" x14ac:dyDescent="0.3">
      <c r="B18" s="669"/>
      <c r="C18" s="654" t="s">
        <v>36</v>
      </c>
      <c r="D18" s="448" t="s">
        <v>37</v>
      </c>
      <c r="E18" s="657" t="s">
        <v>38</v>
      </c>
      <c r="F18" s="656" t="s">
        <v>535</v>
      </c>
      <c r="G18" s="655" t="s">
        <v>39</v>
      </c>
      <c r="H18" s="448" t="s">
        <v>40</v>
      </c>
      <c r="I18" s="448" t="s">
        <v>41</v>
      </c>
      <c r="J18" s="657" t="s">
        <v>42</v>
      </c>
      <c r="K18" s="670"/>
    </row>
    <row r="19" spans="2:12" s="674" customFormat="1" ht="105.6" x14ac:dyDescent="0.25">
      <c r="B19" s="453"/>
      <c r="C19" s="726" t="s">
        <v>639</v>
      </c>
      <c r="D19" s="261">
        <v>0.05</v>
      </c>
      <c r="E19" s="727" t="s">
        <v>640</v>
      </c>
      <c r="F19" s="663" t="s">
        <v>540</v>
      </c>
      <c r="G19" s="461"/>
      <c r="H19" s="51">
        <v>0</v>
      </c>
      <c r="I19" s="60">
        <v>0</v>
      </c>
      <c r="J19" s="459"/>
      <c r="K19" s="675"/>
    </row>
    <row r="20" spans="2:12" s="674" customFormat="1" ht="118.8" x14ac:dyDescent="0.25">
      <c r="B20" s="453"/>
      <c r="C20" s="726" t="s">
        <v>641</v>
      </c>
      <c r="D20" s="261">
        <v>0.05</v>
      </c>
      <c r="E20" s="727" t="s">
        <v>642</v>
      </c>
      <c r="F20" s="663" t="s">
        <v>540</v>
      </c>
      <c r="G20" s="462"/>
      <c r="H20" s="51">
        <v>0</v>
      </c>
      <c r="I20" s="51">
        <v>0</v>
      </c>
      <c r="J20" s="449"/>
      <c r="K20" s="675"/>
    </row>
    <row r="21" spans="2:12" s="674" customFormat="1" x14ac:dyDescent="0.25">
      <c r="B21" s="453"/>
      <c r="C21" s="726" t="s">
        <v>643</v>
      </c>
      <c r="D21" s="261">
        <v>0.02</v>
      </c>
      <c r="E21" s="727" t="s">
        <v>133</v>
      </c>
      <c r="F21" s="663" t="s">
        <v>540</v>
      </c>
      <c r="G21" s="462"/>
      <c r="H21" s="51">
        <v>0</v>
      </c>
      <c r="I21" s="51">
        <v>0</v>
      </c>
      <c r="J21" s="449"/>
      <c r="K21" s="675"/>
    </row>
    <row r="22" spans="2:12" s="674" customFormat="1" x14ac:dyDescent="0.25">
      <c r="B22" s="453"/>
      <c r="C22" s="728" t="s">
        <v>644</v>
      </c>
      <c r="D22" s="261">
        <v>0.02</v>
      </c>
      <c r="E22" s="733" t="s">
        <v>135</v>
      </c>
      <c r="F22" s="663" t="s">
        <v>540</v>
      </c>
      <c r="G22" s="462"/>
      <c r="H22" s="51">
        <v>0</v>
      </c>
      <c r="I22" s="51">
        <v>0</v>
      </c>
      <c r="J22" s="449"/>
      <c r="K22" s="675"/>
    </row>
    <row r="23" spans="2:12" s="674" customFormat="1" x14ac:dyDescent="0.25">
      <c r="B23" s="453"/>
      <c r="C23" s="726" t="s">
        <v>645</v>
      </c>
      <c r="D23" s="261">
        <v>0.03</v>
      </c>
      <c r="E23" s="734" t="s">
        <v>646</v>
      </c>
      <c r="F23" s="663" t="s">
        <v>540</v>
      </c>
      <c r="G23" s="337"/>
      <c r="H23" s="51">
        <v>0</v>
      </c>
      <c r="I23" s="51">
        <v>0</v>
      </c>
      <c r="J23" s="450"/>
      <c r="K23" s="675"/>
    </row>
    <row r="24" spans="2:12" s="674" customFormat="1" x14ac:dyDescent="0.25">
      <c r="B24" s="453"/>
      <c r="C24" s="728" t="s">
        <v>647</v>
      </c>
      <c r="D24" s="261">
        <v>0.03</v>
      </c>
      <c r="E24" s="735">
        <v>0.65</v>
      </c>
      <c r="F24" s="663" t="s">
        <v>540</v>
      </c>
      <c r="G24" s="337"/>
      <c r="H24" s="51">
        <v>0</v>
      </c>
      <c r="I24" s="51">
        <v>0</v>
      </c>
      <c r="J24" s="449"/>
      <c r="K24" s="675"/>
    </row>
    <row r="25" spans="2:12" s="674" customFormat="1" ht="26.4" x14ac:dyDescent="0.25">
      <c r="B25" s="453"/>
      <c r="C25" s="728" t="s">
        <v>648</v>
      </c>
      <c r="D25" s="261">
        <v>0.01</v>
      </c>
      <c r="E25" s="733" t="s">
        <v>649</v>
      </c>
      <c r="F25" s="663" t="s">
        <v>540</v>
      </c>
      <c r="G25" s="450"/>
      <c r="H25" s="51">
        <v>0</v>
      </c>
      <c r="I25" s="51">
        <v>0</v>
      </c>
      <c r="J25" s="81"/>
      <c r="K25" s="675"/>
    </row>
    <row r="26" spans="2:12" s="674" customFormat="1" ht="26.4" x14ac:dyDescent="0.25">
      <c r="B26" s="453"/>
      <c r="C26" s="728" t="s">
        <v>650</v>
      </c>
      <c r="D26" s="261">
        <v>0.01</v>
      </c>
      <c r="E26" s="733" t="s">
        <v>651</v>
      </c>
      <c r="F26" s="663" t="s">
        <v>540</v>
      </c>
      <c r="G26" s="337"/>
      <c r="H26" s="51">
        <v>0</v>
      </c>
      <c r="I26" s="51">
        <v>0</v>
      </c>
      <c r="J26" s="449" t="s">
        <v>652</v>
      </c>
      <c r="K26" s="675"/>
    </row>
    <row r="27" spans="2:12" s="674" customFormat="1" x14ac:dyDescent="0.25">
      <c r="B27" s="687"/>
      <c r="C27" s="728" t="s">
        <v>653</v>
      </c>
      <c r="D27" s="261">
        <v>0.02</v>
      </c>
      <c r="E27" s="729" t="s">
        <v>567</v>
      </c>
      <c r="F27" s="688" t="s">
        <v>540</v>
      </c>
      <c r="G27" s="689"/>
      <c r="H27" s="321">
        <v>0</v>
      </c>
      <c r="I27" s="321">
        <v>0</v>
      </c>
      <c r="J27" s="690" t="s">
        <v>654</v>
      </c>
      <c r="K27" s="691"/>
      <c r="L27" s="692"/>
    </row>
    <row r="28" spans="2:12" s="674" customFormat="1" ht="13.8" thickBot="1" x14ac:dyDescent="0.3">
      <c r="B28" s="687"/>
      <c r="C28" s="730" t="s">
        <v>569</v>
      </c>
      <c r="D28" s="731">
        <v>0.02</v>
      </c>
      <c r="E28" s="732" t="s">
        <v>570</v>
      </c>
      <c r="F28" s="688" t="s">
        <v>540</v>
      </c>
      <c r="G28" s="689"/>
      <c r="H28" s="321"/>
      <c r="I28" s="321"/>
      <c r="J28" s="690"/>
      <c r="K28" s="691"/>
      <c r="L28" s="692"/>
    </row>
    <row r="29" spans="2:12" s="684" customFormat="1" ht="14.4" thickBot="1" x14ac:dyDescent="0.3">
      <c r="B29" s="682"/>
      <c r="C29" s="662" t="s">
        <v>55</v>
      </c>
      <c r="D29" s="30">
        <f>SUM(D19:D28)</f>
        <v>0.26</v>
      </c>
      <c r="E29" s="779"/>
      <c r="F29" s="779"/>
      <c r="G29" s="779"/>
      <c r="H29" s="779"/>
      <c r="I29" s="62">
        <f>SUM(I19:I28)</f>
        <v>0</v>
      </c>
      <c r="J29" s="657"/>
      <c r="K29" s="683"/>
    </row>
    <row r="30" spans="2:12" s="681" customFormat="1" ht="16.2" thickBot="1" x14ac:dyDescent="0.35">
      <c r="B30" s="679"/>
      <c r="C30" s="784" t="s">
        <v>56</v>
      </c>
      <c r="D30" s="785"/>
      <c r="E30" s="785"/>
      <c r="F30" s="785"/>
      <c r="G30" s="785"/>
      <c r="H30" s="785"/>
      <c r="I30" s="785"/>
      <c r="J30" s="786"/>
      <c r="K30" s="680"/>
    </row>
    <row r="31" spans="2:12" s="671" customFormat="1" ht="28.2" thickBot="1" x14ac:dyDescent="0.3">
      <c r="B31" s="669"/>
      <c r="C31" s="654" t="s">
        <v>36</v>
      </c>
      <c r="D31" s="448" t="s">
        <v>37</v>
      </c>
      <c r="E31" s="657" t="s">
        <v>38</v>
      </c>
      <c r="F31" s="656" t="s">
        <v>535</v>
      </c>
      <c r="G31" s="655" t="s">
        <v>39</v>
      </c>
      <c r="H31" s="448" t="s">
        <v>40</v>
      </c>
      <c r="I31" s="448" t="s">
        <v>41</v>
      </c>
      <c r="J31" s="657" t="s">
        <v>42</v>
      </c>
      <c r="K31" s="670"/>
    </row>
    <row r="32" spans="2:12" s="674" customFormat="1" ht="26.4" x14ac:dyDescent="0.25">
      <c r="B32" s="453"/>
      <c r="C32" s="458" t="s">
        <v>655</v>
      </c>
      <c r="D32" s="49">
        <v>7.0000000000000007E-2</v>
      </c>
      <c r="E32" s="724" t="s">
        <v>656</v>
      </c>
      <c r="F32" s="664" t="s">
        <v>540</v>
      </c>
      <c r="G32" s="73"/>
      <c r="H32" s="51">
        <v>0</v>
      </c>
      <c r="I32" s="60">
        <v>0</v>
      </c>
      <c r="J32" s="459"/>
      <c r="K32" s="675"/>
    </row>
    <row r="33" spans="2:12" s="674" customFormat="1" x14ac:dyDescent="0.25">
      <c r="B33" s="453"/>
      <c r="C33" s="455" t="s">
        <v>657</v>
      </c>
      <c r="D33" s="51">
        <v>0.01</v>
      </c>
      <c r="E33" s="724" t="s">
        <v>658</v>
      </c>
      <c r="F33" s="664" t="s">
        <v>540</v>
      </c>
      <c r="G33" s="78"/>
      <c r="H33" s="51">
        <v>0</v>
      </c>
      <c r="I33" s="51">
        <v>0</v>
      </c>
      <c r="J33" s="449"/>
      <c r="K33" s="675"/>
    </row>
    <row r="34" spans="2:12" s="674" customFormat="1" x14ac:dyDescent="0.25">
      <c r="B34" s="453"/>
      <c r="C34" s="455" t="s">
        <v>659</v>
      </c>
      <c r="D34" s="51">
        <v>0.03</v>
      </c>
      <c r="E34" s="736" t="s">
        <v>660</v>
      </c>
      <c r="F34" s="663" t="s">
        <v>540</v>
      </c>
      <c r="G34" s="78"/>
      <c r="H34" s="51">
        <v>0</v>
      </c>
      <c r="I34" s="72">
        <v>0</v>
      </c>
      <c r="J34" s="450"/>
      <c r="K34" s="675"/>
    </row>
    <row r="35" spans="2:12" s="674" customFormat="1" ht="13.8" thickBot="1" x14ac:dyDescent="0.3">
      <c r="B35" s="453"/>
      <c r="C35" s="455" t="s">
        <v>661</v>
      </c>
      <c r="D35" s="51">
        <v>0.03</v>
      </c>
      <c r="E35" s="693">
        <v>71.801879084967311</v>
      </c>
      <c r="F35" s="663" t="s">
        <v>540</v>
      </c>
      <c r="G35" s="78"/>
      <c r="H35" s="51">
        <v>0</v>
      </c>
      <c r="I35" s="51">
        <v>0</v>
      </c>
      <c r="J35" s="81"/>
      <c r="K35" s="675"/>
    </row>
    <row r="36" spans="2:12" s="684" customFormat="1" ht="14.4" thickBot="1" x14ac:dyDescent="0.3">
      <c r="B36" s="682"/>
      <c r="C36" s="662" t="s">
        <v>63</v>
      </c>
      <c r="D36" s="30">
        <f>SUM(D32:D35)</f>
        <v>0.14000000000000001</v>
      </c>
      <c r="E36" s="779"/>
      <c r="F36" s="779"/>
      <c r="G36" s="779"/>
      <c r="H36" s="779"/>
      <c r="I36" s="29">
        <f>SUM(I32:I35)</f>
        <v>0</v>
      </c>
      <c r="J36" s="657"/>
      <c r="K36" s="683"/>
    </row>
    <row r="37" spans="2:12" s="681" customFormat="1" ht="16.2" thickBot="1" x14ac:dyDescent="0.35">
      <c r="B37" s="679"/>
      <c r="C37" s="781" t="s">
        <v>64</v>
      </c>
      <c r="D37" s="782"/>
      <c r="E37" s="782"/>
      <c r="F37" s="782"/>
      <c r="G37" s="782"/>
      <c r="H37" s="782"/>
      <c r="I37" s="782"/>
      <c r="J37" s="786"/>
      <c r="K37" s="680"/>
    </row>
    <row r="38" spans="2:12" s="671" customFormat="1" ht="28.2" thickBot="1" x14ac:dyDescent="0.3">
      <c r="B38" s="669"/>
      <c r="C38" s="666" t="s">
        <v>36</v>
      </c>
      <c r="D38" s="448" t="s">
        <v>37</v>
      </c>
      <c r="E38" s="657" t="s">
        <v>38</v>
      </c>
      <c r="F38" s="656" t="s">
        <v>535</v>
      </c>
      <c r="G38" s="655" t="s">
        <v>39</v>
      </c>
      <c r="H38" s="448" t="s">
        <v>40</v>
      </c>
      <c r="I38" s="448" t="s">
        <v>41</v>
      </c>
      <c r="J38" s="667" t="s">
        <v>42</v>
      </c>
      <c r="K38" s="670"/>
    </row>
    <row r="39" spans="2:12" s="674" customFormat="1" ht="26.4" x14ac:dyDescent="0.25">
      <c r="B39" s="672"/>
      <c r="C39" s="469" t="s">
        <v>94</v>
      </c>
      <c r="D39" s="51">
        <v>0.04</v>
      </c>
      <c r="E39" s="160" t="s">
        <v>662</v>
      </c>
      <c r="F39" s="663" t="s">
        <v>540</v>
      </c>
      <c r="G39" s="147"/>
      <c r="H39" s="51">
        <v>0</v>
      </c>
      <c r="I39" s="60">
        <v>0</v>
      </c>
      <c r="J39" s="470"/>
      <c r="K39" s="673"/>
      <c r="L39" s="685"/>
    </row>
    <row r="40" spans="2:12" s="674" customFormat="1" ht="39.6" x14ac:dyDescent="0.25">
      <c r="B40" s="672"/>
      <c r="C40" s="469" t="s">
        <v>581</v>
      </c>
      <c r="D40" s="51">
        <v>0.03</v>
      </c>
      <c r="E40" s="312" t="s">
        <v>863</v>
      </c>
      <c r="F40" s="663" t="s">
        <v>540</v>
      </c>
      <c r="G40" s="78"/>
      <c r="H40" s="51">
        <v>0</v>
      </c>
      <c r="I40" s="51">
        <v>0</v>
      </c>
      <c r="J40" s="470"/>
      <c r="K40" s="673"/>
      <c r="L40" s="685"/>
    </row>
    <row r="41" spans="2:12" s="674" customFormat="1" ht="13.8" thickBot="1" x14ac:dyDescent="0.3">
      <c r="B41" s="672"/>
      <c r="C41" s="469" t="s">
        <v>582</v>
      </c>
      <c r="D41" s="51">
        <v>0.03</v>
      </c>
      <c r="E41" s="312" t="s">
        <v>663</v>
      </c>
      <c r="F41" s="663" t="s">
        <v>540</v>
      </c>
      <c r="G41" s="251"/>
      <c r="H41" s="51">
        <v>0</v>
      </c>
      <c r="I41" s="51">
        <v>0</v>
      </c>
      <c r="J41" s="470"/>
      <c r="K41" s="673"/>
      <c r="L41" s="685"/>
    </row>
    <row r="42" spans="2:12" s="435" customFormat="1" ht="14.4" thickBot="1" x14ac:dyDescent="0.3">
      <c r="B42" s="432"/>
      <c r="C42" s="426" t="s">
        <v>70</v>
      </c>
      <c r="D42" s="30">
        <f>SUM(D39:D41)</f>
        <v>0.1</v>
      </c>
      <c r="E42" s="778"/>
      <c r="F42" s="779"/>
      <c r="G42" s="779"/>
      <c r="H42" s="780"/>
      <c r="I42" s="62">
        <f>SUM(I39:I41)</f>
        <v>0</v>
      </c>
      <c r="J42" s="655"/>
      <c r="K42" s="434"/>
    </row>
    <row r="43" spans="2:12" s="435" customFormat="1" ht="14.4" thickBot="1" x14ac:dyDescent="0.3">
      <c r="B43" s="432"/>
      <c r="C43" s="440" t="s">
        <v>71</v>
      </c>
      <c r="D43" s="37">
        <f>D42+D36+D29+D16</f>
        <v>1</v>
      </c>
      <c r="E43" s="799"/>
      <c r="F43" s="799"/>
      <c r="G43" s="799"/>
      <c r="H43" s="799"/>
      <c r="I43" s="799"/>
      <c r="J43" s="800"/>
      <c r="K43" s="434"/>
    </row>
    <row r="44" spans="2:12" s="435" customFormat="1" ht="14.4" thickBot="1" x14ac:dyDescent="0.3">
      <c r="B44" s="432"/>
      <c r="C44" s="801" t="s">
        <v>72</v>
      </c>
      <c r="D44" s="802"/>
      <c r="E44" s="802"/>
      <c r="F44" s="802"/>
      <c r="G44" s="803"/>
      <c r="H44" s="787">
        <f>I42+I36+I29+I16</f>
        <v>0</v>
      </c>
      <c r="I44" s="788"/>
      <c r="J44" s="789"/>
      <c r="K44" s="434"/>
    </row>
    <row r="45" spans="2:12" ht="10.35" customHeight="1" thickBot="1" x14ac:dyDescent="0.5">
      <c r="B45" s="441"/>
      <c r="C45" s="442"/>
      <c r="D45" s="442"/>
      <c r="E45" s="443"/>
      <c r="F45" s="668"/>
      <c r="G45" s="444"/>
      <c r="H45" s="445"/>
      <c r="I45" s="445"/>
      <c r="J45" s="446"/>
      <c r="K45" s="447"/>
    </row>
  </sheetData>
  <mergeCells count="14">
    <mergeCell ref="C44:G44"/>
    <mergeCell ref="H44:J44"/>
    <mergeCell ref="E29:H29"/>
    <mergeCell ref="C30:J30"/>
    <mergeCell ref="E36:H36"/>
    <mergeCell ref="C37:J37"/>
    <mergeCell ref="E42:H42"/>
    <mergeCell ref="E43:J43"/>
    <mergeCell ref="C17:J17"/>
    <mergeCell ref="C3:F3"/>
    <mergeCell ref="G3:J3"/>
    <mergeCell ref="G4:J4"/>
    <mergeCell ref="C5:J5"/>
    <mergeCell ref="E16:H16"/>
  </mergeCells>
  <conditionalFormatting sqref="D43">
    <cfRule type="cellIs" dxfId="23" priority="1" stopIfTrue="1" operator="greaterThan">
      <formula>1</formula>
    </cfRule>
    <cfRule type="cellIs" dxfId="22" priority="2" stopIfTrue="1" operator="lessThan">
      <formula>1</formula>
    </cfRule>
  </conditionalFormatting>
  <conditionalFormatting sqref="I16">
    <cfRule type="expression" dxfId="21" priority="3" stopIfTrue="1">
      <formula>"if($H$14/$D$14)&lt;80"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11BE-A13D-4F75-B899-1D74A9E236F7}">
  <sheetPr codeName="Sheet20">
    <pageSetUpPr fitToPage="1"/>
  </sheetPr>
  <dimension ref="B1:L40"/>
  <sheetViews>
    <sheetView zoomScale="80" zoomScaleNormal="80" workbookViewId="0">
      <selection activeCell="E35" sqref="E35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2.21875" style="385" customWidth="1"/>
    <col min="4" max="4" width="15" style="385" customWidth="1"/>
    <col min="5" max="5" width="49.5546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36.77734375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28.2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664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s="671" customFormat="1" ht="42" thickBot="1" x14ac:dyDescent="0.3">
      <c r="B6" s="669"/>
      <c r="C6" s="654" t="s">
        <v>36</v>
      </c>
      <c r="D6" s="448" t="s">
        <v>37</v>
      </c>
      <c r="E6" s="655" t="s">
        <v>38</v>
      </c>
      <c r="F6" s="656" t="s">
        <v>535</v>
      </c>
      <c r="G6" s="655" t="s">
        <v>39</v>
      </c>
      <c r="H6" s="448" t="s">
        <v>40</v>
      </c>
      <c r="I6" s="448" t="s">
        <v>41</v>
      </c>
      <c r="J6" s="657" t="s">
        <v>42</v>
      </c>
      <c r="K6" s="670"/>
    </row>
    <row r="7" spans="2:12" s="674" customFormat="1" x14ac:dyDescent="0.25">
      <c r="B7" s="672"/>
      <c r="C7" s="451" t="s">
        <v>536</v>
      </c>
      <c r="D7" s="39">
        <v>2.5000000000000001E-2</v>
      </c>
      <c r="E7" s="329" t="s">
        <v>665</v>
      </c>
      <c r="F7" s="658" t="s">
        <v>537</v>
      </c>
      <c r="G7" s="461"/>
      <c r="H7" s="79">
        <v>0</v>
      </c>
      <c r="I7" s="60">
        <v>0</v>
      </c>
      <c r="J7" s="659"/>
      <c r="K7" s="673"/>
    </row>
    <row r="8" spans="2:12" s="674" customFormat="1" x14ac:dyDescent="0.25">
      <c r="B8" s="672"/>
      <c r="C8" s="452" t="s">
        <v>666</v>
      </c>
      <c r="D8" s="51">
        <v>0.1</v>
      </c>
      <c r="E8" s="456" t="s">
        <v>667</v>
      </c>
      <c r="F8" s="660" t="s">
        <v>668</v>
      </c>
      <c r="G8" s="462"/>
      <c r="H8" s="79">
        <v>0</v>
      </c>
      <c r="I8" s="51">
        <v>0</v>
      </c>
      <c r="J8" s="450"/>
      <c r="K8" s="673"/>
    </row>
    <row r="9" spans="2:12" s="674" customFormat="1" x14ac:dyDescent="0.25">
      <c r="B9" s="453"/>
      <c r="C9" s="452" t="s">
        <v>669</v>
      </c>
      <c r="D9" s="51">
        <v>0.125</v>
      </c>
      <c r="E9" s="312" t="s">
        <v>670</v>
      </c>
      <c r="F9" s="660" t="s">
        <v>671</v>
      </c>
      <c r="G9" s="450"/>
      <c r="H9" s="79">
        <v>0</v>
      </c>
      <c r="I9" s="51">
        <v>0</v>
      </c>
      <c r="J9" s="450"/>
      <c r="K9" s="675"/>
    </row>
    <row r="10" spans="2:12" s="674" customFormat="1" x14ac:dyDescent="0.25">
      <c r="B10" s="453"/>
      <c r="C10" s="452" t="s">
        <v>672</v>
      </c>
      <c r="D10" s="51">
        <v>7.4999999999999997E-2</v>
      </c>
      <c r="E10" s="463">
        <v>0.187</v>
      </c>
      <c r="F10" s="660" t="s">
        <v>540</v>
      </c>
      <c r="G10" s="450"/>
      <c r="H10" s="79">
        <v>0</v>
      </c>
      <c r="I10" s="51">
        <v>0</v>
      </c>
      <c r="J10" s="450"/>
      <c r="K10" s="675"/>
    </row>
    <row r="11" spans="2:12" s="674" customFormat="1" ht="26.4" x14ac:dyDescent="0.25">
      <c r="B11" s="672"/>
      <c r="C11" s="452" t="s">
        <v>127</v>
      </c>
      <c r="D11" s="51">
        <v>7.4999999999999997E-2</v>
      </c>
      <c r="E11" s="456" t="s">
        <v>673</v>
      </c>
      <c r="F11" s="660" t="s">
        <v>540</v>
      </c>
      <c r="G11" s="462"/>
      <c r="H11" s="79">
        <v>0</v>
      </c>
      <c r="I11" s="51">
        <v>0</v>
      </c>
      <c r="J11" s="450" t="s">
        <v>674</v>
      </c>
      <c r="K11" s="673"/>
    </row>
    <row r="12" spans="2:12" s="674" customFormat="1" x14ac:dyDescent="0.25">
      <c r="B12" s="672"/>
      <c r="C12" s="453" t="s">
        <v>675</v>
      </c>
      <c r="D12" s="51">
        <v>2.5000000000000001E-2</v>
      </c>
      <c r="E12" s="312" t="s">
        <v>676</v>
      </c>
      <c r="F12" s="660" t="s">
        <v>540</v>
      </c>
      <c r="G12" s="450"/>
      <c r="H12" s="79">
        <v>0</v>
      </c>
      <c r="I12" s="51">
        <v>0</v>
      </c>
      <c r="J12" s="450"/>
      <c r="K12" s="673"/>
    </row>
    <row r="13" spans="2:12" s="674" customFormat="1" ht="27" thickBot="1" x14ac:dyDescent="0.3">
      <c r="B13" s="453"/>
      <c r="C13" s="452" t="s">
        <v>677</v>
      </c>
      <c r="D13" s="51">
        <v>7.4999999999999997E-2</v>
      </c>
      <c r="E13" s="694">
        <v>0.22500000000000001</v>
      </c>
      <c r="F13" s="660" t="s">
        <v>540</v>
      </c>
      <c r="G13" s="661"/>
      <c r="H13" s="79">
        <v>0</v>
      </c>
      <c r="I13" s="53">
        <v>0</v>
      </c>
      <c r="J13" s="81"/>
      <c r="K13" s="675"/>
    </row>
    <row r="14" spans="2:12" s="678" customFormat="1" ht="14.4" thickBot="1" x14ac:dyDescent="0.3">
      <c r="B14" s="676"/>
      <c r="C14" s="662" t="s">
        <v>49</v>
      </c>
      <c r="D14" s="30">
        <f>SUM(D7:D13)</f>
        <v>0.5</v>
      </c>
      <c r="E14" s="779"/>
      <c r="F14" s="779"/>
      <c r="G14" s="779"/>
      <c r="H14" s="779"/>
      <c r="I14" s="82">
        <f>SUM(I7:I13)</f>
        <v>0</v>
      </c>
      <c r="J14" s="657"/>
      <c r="K14" s="677"/>
    </row>
    <row r="15" spans="2:12" s="681" customFormat="1" ht="16.2" thickBot="1" x14ac:dyDescent="0.35">
      <c r="B15" s="679"/>
      <c r="C15" s="784" t="s">
        <v>50</v>
      </c>
      <c r="D15" s="785"/>
      <c r="E15" s="785"/>
      <c r="F15" s="785"/>
      <c r="G15" s="785"/>
      <c r="H15" s="785"/>
      <c r="I15" s="785"/>
      <c r="J15" s="786"/>
      <c r="K15" s="680"/>
    </row>
    <row r="16" spans="2:12" s="671" customFormat="1" ht="42" thickBot="1" x14ac:dyDescent="0.3">
      <c r="B16" s="669"/>
      <c r="C16" s="654" t="s">
        <v>36</v>
      </c>
      <c r="D16" s="448" t="s">
        <v>37</v>
      </c>
      <c r="E16" s="657" t="s">
        <v>38</v>
      </c>
      <c r="F16" s="656" t="s">
        <v>535</v>
      </c>
      <c r="G16" s="655" t="s">
        <v>39</v>
      </c>
      <c r="H16" s="448" t="s">
        <v>40</v>
      </c>
      <c r="I16" s="448" t="s">
        <v>41</v>
      </c>
      <c r="J16" s="657" t="s">
        <v>42</v>
      </c>
      <c r="K16" s="670"/>
    </row>
    <row r="17" spans="2:11" s="674" customFormat="1" ht="79.2" x14ac:dyDescent="0.25">
      <c r="B17" s="453"/>
      <c r="C17" s="454" t="s">
        <v>678</v>
      </c>
      <c r="D17" s="49">
        <v>0.03</v>
      </c>
      <c r="E17" s="329" t="s">
        <v>679</v>
      </c>
      <c r="F17" s="663" t="s">
        <v>540</v>
      </c>
      <c r="G17" s="461"/>
      <c r="H17" s="51">
        <v>0</v>
      </c>
      <c r="I17" s="60">
        <v>0</v>
      </c>
      <c r="J17" s="459"/>
      <c r="K17" s="675"/>
    </row>
    <row r="18" spans="2:11" s="674" customFormat="1" x14ac:dyDescent="0.25">
      <c r="B18" s="453"/>
      <c r="C18" s="455" t="s">
        <v>680</v>
      </c>
      <c r="D18" s="51">
        <v>0.03</v>
      </c>
      <c r="E18" s="329">
        <v>1220</v>
      </c>
      <c r="F18" s="663" t="s">
        <v>540</v>
      </c>
      <c r="G18" s="462"/>
      <c r="H18" s="51">
        <v>0</v>
      </c>
      <c r="I18" s="51">
        <v>0</v>
      </c>
      <c r="J18" s="449"/>
      <c r="K18" s="675"/>
    </row>
    <row r="19" spans="2:11" s="674" customFormat="1" ht="26.4" x14ac:dyDescent="0.25">
      <c r="B19" s="453"/>
      <c r="C19" s="455" t="s">
        <v>145</v>
      </c>
      <c r="D19" s="51">
        <v>0.05</v>
      </c>
      <c r="E19" s="695" t="s">
        <v>146</v>
      </c>
      <c r="F19" s="663" t="s">
        <v>540</v>
      </c>
      <c r="G19" s="462"/>
      <c r="H19" s="51">
        <v>0</v>
      </c>
      <c r="I19" s="51">
        <v>0</v>
      </c>
      <c r="J19" s="449"/>
      <c r="K19" s="675"/>
    </row>
    <row r="20" spans="2:11" s="674" customFormat="1" ht="26.4" x14ac:dyDescent="0.25">
      <c r="B20" s="453"/>
      <c r="C20" s="455" t="s">
        <v>681</v>
      </c>
      <c r="D20" s="51">
        <v>0.06</v>
      </c>
      <c r="E20" s="696">
        <v>0.54600000000000004</v>
      </c>
      <c r="F20" s="663" t="s">
        <v>540</v>
      </c>
      <c r="G20" s="462"/>
      <c r="H20" s="51">
        <v>0</v>
      </c>
      <c r="I20" s="51">
        <v>0</v>
      </c>
      <c r="J20" s="449"/>
      <c r="K20" s="675"/>
    </row>
    <row r="21" spans="2:11" s="674" customFormat="1" ht="26.4" x14ac:dyDescent="0.25">
      <c r="B21" s="453"/>
      <c r="C21" s="455" t="s">
        <v>682</v>
      </c>
      <c r="D21" s="51">
        <v>0.05</v>
      </c>
      <c r="E21" s="463" t="s">
        <v>683</v>
      </c>
      <c r="F21" s="663" t="s">
        <v>540</v>
      </c>
      <c r="G21" s="450"/>
      <c r="H21" s="51">
        <v>0</v>
      </c>
      <c r="I21" s="51">
        <v>0</v>
      </c>
      <c r="J21" s="81"/>
      <c r="K21" s="675"/>
    </row>
    <row r="22" spans="2:11" s="674" customFormat="1" x14ac:dyDescent="0.25">
      <c r="B22" s="453"/>
      <c r="C22" s="455" t="s">
        <v>684</v>
      </c>
      <c r="D22" s="126">
        <v>0.02</v>
      </c>
      <c r="E22" s="329" t="s">
        <v>567</v>
      </c>
      <c r="F22" s="663" t="s">
        <v>540</v>
      </c>
      <c r="G22" s="337"/>
      <c r="H22" s="51">
        <v>0</v>
      </c>
      <c r="I22" s="51">
        <v>0</v>
      </c>
      <c r="J22" s="449" t="s">
        <v>685</v>
      </c>
      <c r="K22" s="675"/>
    </row>
    <row r="23" spans="2:11" s="674" customFormat="1" ht="27" thickBot="1" x14ac:dyDescent="0.3">
      <c r="B23" s="453"/>
      <c r="C23" s="455" t="s">
        <v>609</v>
      </c>
      <c r="D23" s="126">
        <v>0.02</v>
      </c>
      <c r="E23" s="464" t="s">
        <v>570</v>
      </c>
      <c r="F23" s="663" t="s">
        <v>540</v>
      </c>
      <c r="G23" s="337"/>
      <c r="H23" s="51">
        <v>0</v>
      </c>
      <c r="I23" s="51">
        <v>0</v>
      </c>
      <c r="J23" s="450" t="s">
        <v>686</v>
      </c>
      <c r="K23" s="675"/>
    </row>
    <row r="24" spans="2:11" s="684" customFormat="1" ht="14.4" thickBot="1" x14ac:dyDescent="0.3">
      <c r="B24" s="682"/>
      <c r="C24" s="662" t="s">
        <v>55</v>
      </c>
      <c r="D24" s="30">
        <f>SUM(D17:D23)</f>
        <v>0.25999999999999995</v>
      </c>
      <c r="E24" s="779"/>
      <c r="F24" s="779"/>
      <c r="G24" s="779"/>
      <c r="H24" s="779"/>
      <c r="I24" s="62">
        <f>SUM(I17:I23)</f>
        <v>0</v>
      </c>
      <c r="J24" s="657"/>
      <c r="K24" s="683"/>
    </row>
    <row r="25" spans="2:11" s="681" customFormat="1" ht="16.2" thickBot="1" x14ac:dyDescent="0.35">
      <c r="B25" s="679"/>
      <c r="C25" s="784" t="s">
        <v>56</v>
      </c>
      <c r="D25" s="785"/>
      <c r="E25" s="785"/>
      <c r="F25" s="785"/>
      <c r="G25" s="785"/>
      <c r="H25" s="785"/>
      <c r="I25" s="785"/>
      <c r="J25" s="786"/>
      <c r="K25" s="680"/>
    </row>
    <row r="26" spans="2:11" s="671" customFormat="1" ht="42" thickBot="1" x14ac:dyDescent="0.3">
      <c r="B26" s="669"/>
      <c r="C26" s="654" t="s">
        <v>36</v>
      </c>
      <c r="D26" s="448" t="s">
        <v>37</v>
      </c>
      <c r="E26" s="657" t="s">
        <v>38</v>
      </c>
      <c r="F26" s="656" t="s">
        <v>535</v>
      </c>
      <c r="G26" s="655" t="s">
        <v>39</v>
      </c>
      <c r="H26" s="448" t="s">
        <v>40</v>
      </c>
      <c r="I26" s="448" t="s">
        <v>41</v>
      </c>
      <c r="J26" s="657" t="s">
        <v>42</v>
      </c>
      <c r="K26" s="670"/>
    </row>
    <row r="27" spans="2:11" s="674" customFormat="1" ht="39.6" x14ac:dyDescent="0.25">
      <c r="B27" s="453"/>
      <c r="C27" s="458" t="s">
        <v>687</v>
      </c>
      <c r="D27" s="49">
        <v>0.03</v>
      </c>
      <c r="E27" s="465" t="s">
        <v>688</v>
      </c>
      <c r="F27" s="664" t="s">
        <v>540</v>
      </c>
      <c r="G27" s="73"/>
      <c r="H27" s="51">
        <v>0</v>
      </c>
      <c r="I27" s="51">
        <v>0</v>
      </c>
      <c r="J27" s="459"/>
      <c r="K27" s="675"/>
    </row>
    <row r="28" spans="2:11" s="674" customFormat="1" ht="26.4" x14ac:dyDescent="0.25">
      <c r="B28" s="453"/>
      <c r="C28" s="455" t="s">
        <v>689</v>
      </c>
      <c r="D28" s="51">
        <v>0.03</v>
      </c>
      <c r="E28" s="465" t="s">
        <v>690</v>
      </c>
      <c r="F28" s="664" t="s">
        <v>540</v>
      </c>
      <c r="G28" s="78"/>
      <c r="H28" s="51">
        <v>0</v>
      </c>
      <c r="I28" s="51">
        <v>0</v>
      </c>
      <c r="J28" s="449" t="s">
        <v>691</v>
      </c>
      <c r="K28" s="675"/>
    </row>
    <row r="29" spans="2:11" s="674" customFormat="1" x14ac:dyDescent="0.25">
      <c r="B29" s="453"/>
      <c r="C29" s="455" t="s">
        <v>692</v>
      </c>
      <c r="D29" s="51">
        <v>0.04</v>
      </c>
      <c r="E29" s="697">
        <v>0.72</v>
      </c>
      <c r="F29" s="663" t="s">
        <v>540</v>
      </c>
      <c r="G29" s="78"/>
      <c r="H29" s="51">
        <v>0</v>
      </c>
      <c r="I29" s="72">
        <v>0</v>
      </c>
      <c r="J29" s="450"/>
      <c r="K29" s="675"/>
    </row>
    <row r="30" spans="2:11" s="674" customFormat="1" ht="13.8" thickBot="1" x14ac:dyDescent="0.3">
      <c r="B30" s="453"/>
      <c r="C30" s="455" t="s">
        <v>693</v>
      </c>
      <c r="D30" s="51">
        <v>0.04</v>
      </c>
      <c r="E30" s="665" t="s">
        <v>694</v>
      </c>
      <c r="F30" s="663" t="s">
        <v>540</v>
      </c>
      <c r="G30" s="78"/>
      <c r="H30" s="51">
        <v>0</v>
      </c>
      <c r="I30" s="51">
        <v>0</v>
      </c>
      <c r="J30" s="81"/>
      <c r="K30" s="675"/>
    </row>
    <row r="31" spans="2:11" s="684" customFormat="1" ht="14.4" thickBot="1" x14ac:dyDescent="0.3">
      <c r="B31" s="682"/>
      <c r="C31" s="662" t="s">
        <v>63</v>
      </c>
      <c r="D31" s="30">
        <f>SUM(D27:D30)</f>
        <v>0.14000000000000001</v>
      </c>
      <c r="E31" s="779"/>
      <c r="F31" s="779"/>
      <c r="G31" s="779"/>
      <c r="H31" s="779"/>
      <c r="I31" s="29">
        <f>SUM(I27:I30)</f>
        <v>0</v>
      </c>
      <c r="J31" s="657"/>
      <c r="K31" s="683"/>
    </row>
    <row r="32" spans="2:11" s="681" customFormat="1" ht="16.2" thickBot="1" x14ac:dyDescent="0.35">
      <c r="B32" s="679"/>
      <c r="C32" s="781" t="s">
        <v>64</v>
      </c>
      <c r="D32" s="782"/>
      <c r="E32" s="782"/>
      <c r="F32" s="782"/>
      <c r="G32" s="782"/>
      <c r="H32" s="782"/>
      <c r="I32" s="782"/>
      <c r="J32" s="786"/>
      <c r="K32" s="680"/>
    </row>
    <row r="33" spans="2:12" s="671" customFormat="1" ht="42" thickBot="1" x14ac:dyDescent="0.3">
      <c r="B33" s="669"/>
      <c r="C33" s="666" t="s">
        <v>36</v>
      </c>
      <c r="D33" s="448" t="s">
        <v>37</v>
      </c>
      <c r="E33" s="657" t="s">
        <v>38</v>
      </c>
      <c r="F33" s="656" t="s">
        <v>535</v>
      </c>
      <c r="G33" s="655" t="s">
        <v>39</v>
      </c>
      <c r="H33" s="448" t="s">
        <v>40</v>
      </c>
      <c r="I33" s="448" t="s">
        <v>41</v>
      </c>
      <c r="J33" s="667" t="s">
        <v>42</v>
      </c>
      <c r="K33" s="670"/>
    </row>
    <row r="34" spans="2:12" s="674" customFormat="1" ht="26.4" x14ac:dyDescent="0.25">
      <c r="B34" s="672"/>
      <c r="C34" s="469" t="s">
        <v>94</v>
      </c>
      <c r="D34" s="51">
        <v>0.04</v>
      </c>
      <c r="E34" s="160" t="s">
        <v>695</v>
      </c>
      <c r="F34" s="698" t="s">
        <v>540</v>
      </c>
      <c r="G34" s="147"/>
      <c r="H34" s="51">
        <v>0</v>
      </c>
      <c r="I34" s="60">
        <v>0</v>
      </c>
      <c r="J34" s="470"/>
      <c r="K34" s="673"/>
      <c r="L34" s="685"/>
    </row>
    <row r="35" spans="2:12" s="674" customFormat="1" ht="39.6" x14ac:dyDescent="0.25">
      <c r="B35" s="672"/>
      <c r="C35" s="469" t="s">
        <v>581</v>
      </c>
      <c r="D35" s="51">
        <v>0.03</v>
      </c>
      <c r="E35" s="312" t="s">
        <v>858</v>
      </c>
      <c r="F35" s="663" t="s">
        <v>540</v>
      </c>
      <c r="G35" s="78"/>
      <c r="H35" s="51">
        <v>0</v>
      </c>
      <c r="I35" s="51">
        <v>0</v>
      </c>
      <c r="J35" s="470"/>
      <c r="K35" s="673"/>
      <c r="L35" s="685"/>
    </row>
    <row r="36" spans="2:12" s="674" customFormat="1" ht="13.8" thickBot="1" x14ac:dyDescent="0.3">
      <c r="B36" s="672"/>
      <c r="C36" s="469" t="s">
        <v>582</v>
      </c>
      <c r="D36" s="51">
        <v>0.03</v>
      </c>
      <c r="E36" s="312" t="s">
        <v>696</v>
      </c>
      <c r="F36" s="663" t="s">
        <v>540</v>
      </c>
      <c r="G36" s="251"/>
      <c r="H36" s="51">
        <v>0</v>
      </c>
      <c r="I36" s="51">
        <v>0</v>
      </c>
      <c r="J36" s="470"/>
      <c r="K36" s="673"/>
      <c r="L36" s="685"/>
    </row>
    <row r="37" spans="2:12" s="435" customFormat="1" ht="14.4" thickBot="1" x14ac:dyDescent="0.3">
      <c r="B37" s="432"/>
      <c r="C37" s="426" t="s">
        <v>70</v>
      </c>
      <c r="D37" s="30">
        <f>SUM(D34:D36)</f>
        <v>0.1</v>
      </c>
      <c r="E37" s="778"/>
      <c r="F37" s="779"/>
      <c r="G37" s="779"/>
      <c r="H37" s="780"/>
      <c r="I37" s="62">
        <f>SUM(I34:I36)</f>
        <v>0</v>
      </c>
      <c r="J37" s="655"/>
      <c r="K37" s="434"/>
    </row>
    <row r="38" spans="2:12" s="435" customFormat="1" ht="14.4" thickBot="1" x14ac:dyDescent="0.3">
      <c r="B38" s="432"/>
      <c r="C38" s="440" t="s">
        <v>71</v>
      </c>
      <c r="D38" s="37">
        <f>D37+D31+D24+D14</f>
        <v>1</v>
      </c>
      <c r="E38" s="799"/>
      <c r="F38" s="799"/>
      <c r="G38" s="799"/>
      <c r="H38" s="799"/>
      <c r="I38" s="799"/>
      <c r="J38" s="800"/>
      <c r="K38" s="434"/>
    </row>
    <row r="39" spans="2:12" s="435" customFormat="1" ht="14.4" thickBot="1" x14ac:dyDescent="0.3">
      <c r="B39" s="432"/>
      <c r="C39" s="801" t="s">
        <v>72</v>
      </c>
      <c r="D39" s="802"/>
      <c r="E39" s="802"/>
      <c r="F39" s="802"/>
      <c r="G39" s="803"/>
      <c r="H39" s="787">
        <f>I37+I31+I24+I14</f>
        <v>0</v>
      </c>
      <c r="I39" s="788"/>
      <c r="J39" s="789"/>
      <c r="K39" s="434"/>
    </row>
    <row r="40" spans="2:12" ht="28.2" thickBot="1" x14ac:dyDescent="0.5">
      <c r="B40" s="441"/>
      <c r="C40" s="442"/>
      <c r="D40" s="442"/>
      <c r="E40" s="443"/>
      <c r="F40" s="668"/>
      <c r="G40" s="444"/>
      <c r="H40" s="445"/>
      <c r="I40" s="445"/>
      <c r="J40" s="446"/>
      <c r="K40" s="447"/>
    </row>
  </sheetData>
  <mergeCells count="14">
    <mergeCell ref="C39:G39"/>
    <mergeCell ref="H39:J39"/>
    <mergeCell ref="E24:H24"/>
    <mergeCell ref="C25:J25"/>
    <mergeCell ref="E31:H31"/>
    <mergeCell ref="C32:J32"/>
    <mergeCell ref="E37:H37"/>
    <mergeCell ref="E38:J38"/>
    <mergeCell ref="C15:J15"/>
    <mergeCell ref="C3:F3"/>
    <mergeCell ref="G3:J3"/>
    <mergeCell ref="G4:J4"/>
    <mergeCell ref="C5:J5"/>
    <mergeCell ref="E14:H14"/>
  </mergeCells>
  <conditionalFormatting sqref="D38">
    <cfRule type="cellIs" dxfId="20" priority="1" stopIfTrue="1" operator="greaterThan">
      <formula>1</formula>
    </cfRule>
    <cfRule type="cellIs" dxfId="19" priority="2" stopIfTrue="1" operator="lessThan">
      <formula>1</formula>
    </cfRule>
  </conditionalFormatting>
  <conditionalFormatting sqref="I14">
    <cfRule type="expression" dxfId="18" priority="3" stopIfTrue="1">
      <formula>"if($H$14/$D$14)&lt;80"</formula>
    </cfRule>
  </conditionalFormatting>
  <pageMargins left="0.7" right="0.7" top="0.75" bottom="0.75" header="0.3" footer="0.3"/>
  <pageSetup paperSize="8" scale="76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E327-B473-4CD7-9CF1-9499BDBD720B}">
  <sheetPr codeName="Sheet21"/>
  <dimension ref="B1:L45"/>
  <sheetViews>
    <sheetView zoomScale="80" zoomScaleNormal="80" workbookViewId="0">
      <selection activeCell="E40" sqref="E40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1.77734375" style="385" customWidth="1"/>
    <col min="4" max="4" width="15" style="385" customWidth="1"/>
    <col min="5" max="5" width="49.5546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36.77734375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28.2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697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s="671" customFormat="1" ht="42" thickBot="1" x14ac:dyDescent="0.3">
      <c r="B6" s="669"/>
      <c r="C6" s="654" t="s">
        <v>36</v>
      </c>
      <c r="D6" s="448" t="s">
        <v>37</v>
      </c>
      <c r="E6" s="655" t="s">
        <v>38</v>
      </c>
      <c r="F6" s="656" t="s">
        <v>535</v>
      </c>
      <c r="G6" s="655" t="s">
        <v>39</v>
      </c>
      <c r="H6" s="448" t="s">
        <v>40</v>
      </c>
      <c r="I6" s="448" t="s">
        <v>41</v>
      </c>
      <c r="J6" s="657" t="s">
        <v>42</v>
      </c>
      <c r="K6" s="670"/>
    </row>
    <row r="7" spans="2:12" s="674" customFormat="1" x14ac:dyDescent="0.25">
      <c r="B7" s="672"/>
      <c r="C7" s="451" t="s">
        <v>536</v>
      </c>
      <c r="D7" s="39">
        <v>2.5000000000000001E-2</v>
      </c>
      <c r="E7" s="329" t="s">
        <v>665</v>
      </c>
      <c r="F7" s="658" t="s">
        <v>537</v>
      </c>
      <c r="G7" s="461"/>
      <c r="H7" s="79">
        <v>0</v>
      </c>
      <c r="I7" s="60">
        <v>0</v>
      </c>
      <c r="J7" s="659"/>
      <c r="K7" s="673"/>
    </row>
    <row r="8" spans="2:12" s="674" customFormat="1" ht="26.4" x14ac:dyDescent="0.25">
      <c r="B8" s="672"/>
      <c r="C8" s="699" t="s">
        <v>698</v>
      </c>
      <c r="D8" s="51">
        <v>0.1</v>
      </c>
      <c r="E8" s="700" t="s">
        <v>699</v>
      </c>
      <c r="F8" s="660" t="s">
        <v>540</v>
      </c>
      <c r="G8" s="462"/>
      <c r="H8" s="79">
        <v>0</v>
      </c>
      <c r="I8" s="51">
        <v>0</v>
      </c>
      <c r="J8" s="450"/>
      <c r="K8" s="673"/>
    </row>
    <row r="9" spans="2:12" s="674" customFormat="1" x14ac:dyDescent="0.25">
      <c r="B9" s="453"/>
      <c r="C9" s="452" t="s">
        <v>700</v>
      </c>
      <c r="D9" s="51">
        <v>0.1</v>
      </c>
      <c r="E9" s="701" t="s">
        <v>701</v>
      </c>
      <c r="F9" s="660" t="s">
        <v>540</v>
      </c>
      <c r="G9" s="450"/>
      <c r="H9" s="79">
        <v>0</v>
      </c>
      <c r="I9" s="51">
        <v>0</v>
      </c>
      <c r="J9" s="450"/>
      <c r="K9" s="675"/>
    </row>
    <row r="10" spans="2:12" s="674" customFormat="1" x14ac:dyDescent="0.25">
      <c r="B10" s="453"/>
      <c r="C10" s="452" t="s">
        <v>702</v>
      </c>
      <c r="D10" s="51">
        <v>0.05</v>
      </c>
      <c r="E10" s="702">
        <v>6.6000000000000003E-2</v>
      </c>
      <c r="F10" s="660" t="s">
        <v>540</v>
      </c>
      <c r="G10" s="450"/>
      <c r="H10" s="79">
        <v>0</v>
      </c>
      <c r="I10" s="51">
        <v>0</v>
      </c>
      <c r="J10" s="450"/>
      <c r="K10" s="675"/>
    </row>
    <row r="11" spans="2:12" s="674" customFormat="1" x14ac:dyDescent="0.25">
      <c r="B11" s="672"/>
      <c r="C11" s="452" t="s">
        <v>703</v>
      </c>
      <c r="D11" s="51">
        <v>7.4999999999999997E-2</v>
      </c>
      <c r="E11" s="703" t="s">
        <v>704</v>
      </c>
      <c r="F11" s="660" t="s">
        <v>540</v>
      </c>
      <c r="G11" s="462"/>
      <c r="H11" s="79">
        <v>0</v>
      </c>
      <c r="I11" s="51">
        <v>0</v>
      </c>
      <c r="J11" s="450"/>
      <c r="K11" s="673"/>
    </row>
    <row r="12" spans="2:12" s="674" customFormat="1" x14ac:dyDescent="0.25">
      <c r="B12" s="453"/>
      <c r="C12" s="452" t="s">
        <v>705</v>
      </c>
      <c r="D12" s="51">
        <v>2.5000000000000001E-2</v>
      </c>
      <c r="E12" s="702">
        <v>8.2000000000000003E-2</v>
      </c>
      <c r="F12" s="660" t="s">
        <v>540</v>
      </c>
      <c r="G12" s="450"/>
      <c r="H12" s="79">
        <v>0</v>
      </c>
      <c r="I12" s="51">
        <v>0</v>
      </c>
      <c r="J12" s="450"/>
      <c r="K12" s="675"/>
    </row>
    <row r="13" spans="2:12" s="674" customFormat="1" x14ac:dyDescent="0.25">
      <c r="B13" s="672"/>
      <c r="C13" s="453" t="s">
        <v>706</v>
      </c>
      <c r="D13" s="51">
        <v>0.05</v>
      </c>
      <c r="E13" s="701" t="s">
        <v>707</v>
      </c>
      <c r="F13" s="660" t="s">
        <v>540</v>
      </c>
      <c r="G13" s="450"/>
      <c r="H13" s="79">
        <v>0</v>
      </c>
      <c r="I13" s="51">
        <v>0</v>
      </c>
      <c r="J13" s="450"/>
      <c r="K13" s="673"/>
    </row>
    <row r="14" spans="2:12" s="674" customFormat="1" ht="27" thickBot="1" x14ac:dyDescent="0.3">
      <c r="B14" s="453"/>
      <c r="C14" s="452" t="s">
        <v>708</v>
      </c>
      <c r="D14" s="51">
        <v>7.4999999999999997E-2</v>
      </c>
      <c r="E14" s="704">
        <v>6.8000000000000005E-2</v>
      </c>
      <c r="F14" s="660" t="s">
        <v>540</v>
      </c>
      <c r="G14" s="661"/>
      <c r="H14" s="79">
        <v>0</v>
      </c>
      <c r="I14" s="53">
        <v>0</v>
      </c>
      <c r="J14" s="81"/>
      <c r="K14" s="675"/>
    </row>
    <row r="15" spans="2:12" s="678" customFormat="1" ht="14.4" thickBot="1" x14ac:dyDescent="0.3">
      <c r="B15" s="676"/>
      <c r="C15" s="662" t="s">
        <v>49</v>
      </c>
      <c r="D15" s="30">
        <f>SUM(D7:D14)</f>
        <v>0.5</v>
      </c>
      <c r="E15" s="779"/>
      <c r="F15" s="779"/>
      <c r="G15" s="779"/>
      <c r="H15" s="779"/>
      <c r="I15" s="82">
        <f>SUM(I7:I14)</f>
        <v>0</v>
      </c>
      <c r="J15" s="657"/>
      <c r="K15" s="677"/>
    </row>
    <row r="16" spans="2:12" s="681" customFormat="1" ht="16.2" thickBot="1" x14ac:dyDescent="0.35">
      <c r="B16" s="679"/>
      <c r="C16" s="784" t="s">
        <v>50</v>
      </c>
      <c r="D16" s="785"/>
      <c r="E16" s="785"/>
      <c r="F16" s="785"/>
      <c r="G16" s="785"/>
      <c r="H16" s="785"/>
      <c r="I16" s="785"/>
      <c r="J16" s="786"/>
      <c r="K16" s="680"/>
    </row>
    <row r="17" spans="2:11" s="671" customFormat="1" ht="28.2" thickBot="1" x14ac:dyDescent="0.3">
      <c r="B17" s="669"/>
      <c r="C17" s="654" t="s">
        <v>36</v>
      </c>
      <c r="D17" s="448" t="s">
        <v>37</v>
      </c>
      <c r="E17" s="657" t="s">
        <v>38</v>
      </c>
      <c r="F17" s="656" t="s">
        <v>535</v>
      </c>
      <c r="G17" s="655" t="s">
        <v>39</v>
      </c>
      <c r="H17" s="448" t="s">
        <v>40</v>
      </c>
      <c r="I17" s="448" t="s">
        <v>41</v>
      </c>
      <c r="J17" s="657" t="s">
        <v>42</v>
      </c>
      <c r="K17" s="670"/>
    </row>
    <row r="18" spans="2:11" s="674" customFormat="1" ht="26.4" x14ac:dyDescent="0.25">
      <c r="B18" s="453"/>
      <c r="C18" s="454" t="s">
        <v>709</v>
      </c>
      <c r="D18" s="49">
        <v>0.03</v>
      </c>
      <c r="E18" s="329" t="s">
        <v>553</v>
      </c>
      <c r="F18" s="663" t="s">
        <v>540</v>
      </c>
      <c r="G18" s="461"/>
      <c r="H18" s="51">
        <v>0</v>
      </c>
      <c r="I18" s="60">
        <v>0</v>
      </c>
      <c r="J18" s="459"/>
      <c r="K18" s="675"/>
    </row>
    <row r="19" spans="2:11" s="674" customFormat="1" x14ac:dyDescent="0.25">
      <c r="B19" s="453"/>
      <c r="C19" s="455" t="s">
        <v>710</v>
      </c>
      <c r="D19" s="51">
        <v>0.03</v>
      </c>
      <c r="E19" s="329" t="s">
        <v>135</v>
      </c>
      <c r="F19" s="663" t="s">
        <v>540</v>
      </c>
      <c r="G19" s="462"/>
      <c r="H19" s="51">
        <v>0</v>
      </c>
      <c r="I19" s="51">
        <v>0</v>
      </c>
      <c r="J19" s="449"/>
      <c r="K19" s="675"/>
    </row>
    <row r="20" spans="2:11" s="674" customFormat="1" x14ac:dyDescent="0.25">
      <c r="B20" s="453"/>
      <c r="C20" s="455" t="s">
        <v>711</v>
      </c>
      <c r="D20" s="51">
        <v>0.04</v>
      </c>
      <c r="E20" s="329">
        <v>0.72</v>
      </c>
      <c r="F20" s="663" t="s">
        <v>540</v>
      </c>
      <c r="G20" s="462"/>
      <c r="H20" s="51">
        <v>0</v>
      </c>
      <c r="I20" s="51">
        <v>0</v>
      </c>
      <c r="J20" s="449"/>
      <c r="K20" s="675"/>
    </row>
    <row r="21" spans="2:11" s="674" customFormat="1" x14ac:dyDescent="0.25">
      <c r="B21" s="453"/>
      <c r="C21" s="455" t="s">
        <v>139</v>
      </c>
      <c r="D21" s="51">
        <v>0.04</v>
      </c>
      <c r="E21" s="329" t="s">
        <v>140</v>
      </c>
      <c r="F21" s="663" t="s">
        <v>540</v>
      </c>
      <c r="G21" s="462"/>
      <c r="H21" s="51">
        <v>0</v>
      </c>
      <c r="I21" s="51">
        <v>0</v>
      </c>
      <c r="J21" s="449"/>
      <c r="K21" s="675"/>
    </row>
    <row r="22" spans="2:11" s="674" customFormat="1" x14ac:dyDescent="0.25">
      <c r="B22" s="453"/>
      <c r="C22" s="455" t="s">
        <v>712</v>
      </c>
      <c r="D22" s="126">
        <v>0.02</v>
      </c>
      <c r="E22" s="705" t="s">
        <v>713</v>
      </c>
      <c r="F22" s="663" t="s">
        <v>540</v>
      </c>
      <c r="G22" s="337"/>
      <c r="H22" s="51">
        <v>0</v>
      </c>
      <c r="I22" s="51">
        <v>0</v>
      </c>
      <c r="J22" s="450"/>
      <c r="K22" s="675"/>
    </row>
    <row r="23" spans="2:11" s="674" customFormat="1" x14ac:dyDescent="0.25">
      <c r="B23" s="453"/>
      <c r="C23" s="455" t="s">
        <v>714</v>
      </c>
      <c r="D23" s="51">
        <v>0.03</v>
      </c>
      <c r="E23" s="705" t="s">
        <v>715</v>
      </c>
      <c r="F23" s="663" t="s">
        <v>540</v>
      </c>
      <c r="G23" s="462"/>
      <c r="H23" s="51">
        <v>0</v>
      </c>
      <c r="I23" s="51">
        <v>0</v>
      </c>
      <c r="J23" s="449"/>
      <c r="K23" s="675"/>
    </row>
    <row r="24" spans="2:11" s="674" customFormat="1" x14ac:dyDescent="0.25">
      <c r="B24" s="453"/>
      <c r="C24" s="455" t="s">
        <v>716</v>
      </c>
      <c r="D24" s="126">
        <v>0.05</v>
      </c>
      <c r="E24" s="705" t="s">
        <v>717</v>
      </c>
      <c r="F24" s="663" t="s">
        <v>540</v>
      </c>
      <c r="G24" s="337"/>
      <c r="H24" s="51">
        <v>0</v>
      </c>
      <c r="I24" s="51">
        <v>0</v>
      </c>
      <c r="J24" s="450"/>
      <c r="K24" s="675"/>
    </row>
    <row r="25" spans="2:11" s="674" customFormat="1" ht="26.4" x14ac:dyDescent="0.25">
      <c r="B25" s="453"/>
      <c r="C25" s="455" t="s">
        <v>718</v>
      </c>
      <c r="D25" s="51">
        <v>0.02</v>
      </c>
      <c r="E25" s="702" t="s">
        <v>719</v>
      </c>
      <c r="F25" s="663" t="s">
        <v>540</v>
      </c>
      <c r="G25" s="450"/>
      <c r="H25" s="51">
        <v>0</v>
      </c>
      <c r="I25" s="51">
        <v>0</v>
      </c>
      <c r="J25" s="81"/>
      <c r="K25" s="675"/>
    </row>
    <row r="26" spans="2:11" s="674" customFormat="1" x14ac:dyDescent="0.25">
      <c r="B26" s="453"/>
      <c r="C26" s="455" t="s">
        <v>720</v>
      </c>
      <c r="D26" s="126">
        <v>0.02</v>
      </c>
      <c r="E26" s="329" t="s">
        <v>567</v>
      </c>
      <c r="F26" s="663" t="s">
        <v>540</v>
      </c>
      <c r="G26" s="337"/>
      <c r="H26" s="51">
        <v>0</v>
      </c>
      <c r="I26" s="51">
        <v>0</v>
      </c>
      <c r="J26" s="449" t="s">
        <v>721</v>
      </c>
      <c r="K26" s="675"/>
    </row>
    <row r="27" spans="2:11" s="674" customFormat="1" ht="27" thickBot="1" x14ac:dyDescent="0.3">
      <c r="B27" s="453"/>
      <c r="C27" s="455" t="s">
        <v>609</v>
      </c>
      <c r="D27" s="126">
        <v>0.02</v>
      </c>
      <c r="E27" s="464" t="s">
        <v>570</v>
      </c>
      <c r="F27" s="663" t="s">
        <v>540</v>
      </c>
      <c r="G27" s="337"/>
      <c r="H27" s="51">
        <v>0</v>
      </c>
      <c r="I27" s="51">
        <v>0</v>
      </c>
      <c r="J27" s="450" t="s">
        <v>722</v>
      </c>
      <c r="K27" s="675"/>
    </row>
    <row r="28" spans="2:11" s="684" customFormat="1" ht="14.4" thickBot="1" x14ac:dyDescent="0.3">
      <c r="B28" s="682"/>
      <c r="C28" s="662" t="s">
        <v>55</v>
      </c>
      <c r="D28" s="30">
        <f>SUM(D18:D27)</f>
        <v>0.30000000000000004</v>
      </c>
      <c r="E28" s="779"/>
      <c r="F28" s="779"/>
      <c r="G28" s="779"/>
      <c r="H28" s="779"/>
      <c r="I28" s="62">
        <f>SUM(I18:I27)</f>
        <v>0</v>
      </c>
      <c r="J28" s="657"/>
      <c r="K28" s="683"/>
    </row>
    <row r="29" spans="2:11" s="681" customFormat="1" ht="16.2" thickBot="1" x14ac:dyDescent="0.35">
      <c r="B29" s="679"/>
      <c r="C29" s="784" t="s">
        <v>56</v>
      </c>
      <c r="D29" s="785"/>
      <c r="E29" s="785"/>
      <c r="F29" s="785"/>
      <c r="G29" s="785"/>
      <c r="H29" s="785"/>
      <c r="I29" s="785"/>
      <c r="J29" s="786"/>
      <c r="K29" s="680"/>
    </row>
    <row r="30" spans="2:11" s="671" customFormat="1" ht="42" thickBot="1" x14ac:dyDescent="0.3">
      <c r="B30" s="669"/>
      <c r="C30" s="654" t="s">
        <v>36</v>
      </c>
      <c r="D30" s="448" t="s">
        <v>37</v>
      </c>
      <c r="E30" s="657" t="s">
        <v>38</v>
      </c>
      <c r="F30" s="656" t="s">
        <v>535</v>
      </c>
      <c r="G30" s="655" t="s">
        <v>39</v>
      </c>
      <c r="H30" s="448" t="s">
        <v>40</v>
      </c>
      <c r="I30" s="448" t="s">
        <v>41</v>
      </c>
      <c r="J30" s="657" t="s">
        <v>42</v>
      </c>
      <c r="K30" s="670"/>
    </row>
    <row r="31" spans="2:11" s="674" customFormat="1" ht="26.4" x14ac:dyDescent="0.25">
      <c r="B31" s="453"/>
      <c r="C31" s="458" t="s">
        <v>723</v>
      </c>
      <c r="D31" s="49">
        <v>0.02</v>
      </c>
      <c r="E31" s="465" t="s">
        <v>724</v>
      </c>
      <c r="F31" s="664"/>
      <c r="G31" s="73"/>
      <c r="H31" s="51">
        <v>0</v>
      </c>
      <c r="I31" s="51">
        <v>0</v>
      </c>
      <c r="J31" s="459"/>
      <c r="K31" s="675"/>
    </row>
    <row r="32" spans="2:11" s="674" customFormat="1" x14ac:dyDescent="0.25">
      <c r="B32" s="453"/>
      <c r="C32" s="455" t="s">
        <v>613</v>
      </c>
      <c r="D32" s="51">
        <v>0.02</v>
      </c>
      <c r="E32" s="706" t="s">
        <v>725</v>
      </c>
      <c r="F32" s="664">
        <v>18684</v>
      </c>
      <c r="G32" s="78"/>
      <c r="H32" s="51">
        <v>0</v>
      </c>
      <c r="I32" s="51">
        <v>0</v>
      </c>
      <c r="J32" s="449"/>
      <c r="K32" s="675"/>
    </row>
    <row r="33" spans="2:12" s="674" customFormat="1" ht="26.4" x14ac:dyDescent="0.25">
      <c r="B33" s="453"/>
      <c r="C33" s="455" t="s">
        <v>726</v>
      </c>
      <c r="D33" s="51">
        <v>0.02</v>
      </c>
      <c r="E33" s="707" t="s">
        <v>717</v>
      </c>
      <c r="F33" s="663"/>
      <c r="G33" s="78"/>
      <c r="H33" s="51">
        <v>0</v>
      </c>
      <c r="I33" s="72">
        <v>0</v>
      </c>
      <c r="J33" s="450"/>
      <c r="K33" s="675"/>
    </row>
    <row r="34" spans="2:12" s="674" customFormat="1" x14ac:dyDescent="0.25">
      <c r="B34" s="453"/>
      <c r="C34" s="455" t="s">
        <v>727</v>
      </c>
      <c r="D34" s="51">
        <v>0.02</v>
      </c>
      <c r="E34" s="707" t="s">
        <v>728</v>
      </c>
      <c r="F34" s="663"/>
      <c r="G34" s="78"/>
      <c r="H34" s="51">
        <v>0</v>
      </c>
      <c r="I34" s="72">
        <v>0</v>
      </c>
      <c r="J34" s="450"/>
      <c r="K34" s="675"/>
    </row>
    <row r="35" spans="2:12" s="674" customFormat="1" ht="13.8" thickBot="1" x14ac:dyDescent="0.3">
      <c r="B35" s="453"/>
      <c r="C35" s="455" t="s">
        <v>729</v>
      </c>
      <c r="D35" s="51">
        <v>0.02</v>
      </c>
      <c r="E35" s="467">
        <v>0.76</v>
      </c>
      <c r="F35" s="708">
        <v>0.8</v>
      </c>
      <c r="G35" s="78"/>
      <c r="H35" s="51">
        <v>0</v>
      </c>
      <c r="I35" s="51">
        <v>0</v>
      </c>
      <c r="J35" s="81"/>
      <c r="K35" s="675"/>
    </row>
    <row r="36" spans="2:12" s="684" customFormat="1" ht="14.4" thickBot="1" x14ac:dyDescent="0.3">
      <c r="B36" s="682"/>
      <c r="C36" s="662" t="s">
        <v>63</v>
      </c>
      <c r="D36" s="30">
        <f>SUM(D31:D35)</f>
        <v>0.1</v>
      </c>
      <c r="E36" s="779"/>
      <c r="F36" s="779"/>
      <c r="G36" s="779"/>
      <c r="H36" s="779"/>
      <c r="I36" s="29">
        <f>SUM(I31:I35)</f>
        <v>0</v>
      </c>
      <c r="J36" s="657"/>
      <c r="K36" s="683"/>
    </row>
    <row r="37" spans="2:12" s="681" customFormat="1" ht="16.2" thickBot="1" x14ac:dyDescent="0.35">
      <c r="B37" s="679"/>
      <c r="C37" s="781" t="s">
        <v>64</v>
      </c>
      <c r="D37" s="782"/>
      <c r="E37" s="782"/>
      <c r="F37" s="782"/>
      <c r="G37" s="782"/>
      <c r="H37" s="782"/>
      <c r="I37" s="782"/>
      <c r="J37" s="786"/>
      <c r="K37" s="680"/>
    </row>
    <row r="38" spans="2:12" s="671" customFormat="1" ht="28.2" thickBot="1" x14ac:dyDescent="0.3">
      <c r="B38" s="669"/>
      <c r="C38" s="666" t="s">
        <v>36</v>
      </c>
      <c r="D38" s="448" t="s">
        <v>37</v>
      </c>
      <c r="E38" s="657" t="s">
        <v>38</v>
      </c>
      <c r="F38" s="656" t="s">
        <v>535</v>
      </c>
      <c r="G38" s="655" t="s">
        <v>39</v>
      </c>
      <c r="H38" s="448" t="s">
        <v>40</v>
      </c>
      <c r="I38" s="448" t="s">
        <v>41</v>
      </c>
      <c r="J38" s="667" t="s">
        <v>42</v>
      </c>
      <c r="K38" s="670"/>
    </row>
    <row r="39" spans="2:12" s="674" customFormat="1" ht="52.8" x14ac:dyDescent="0.25">
      <c r="B39" s="672"/>
      <c r="C39" s="469" t="s">
        <v>94</v>
      </c>
      <c r="D39" s="51">
        <v>0.04</v>
      </c>
      <c r="E39" s="709" t="s">
        <v>730</v>
      </c>
      <c r="F39" s="698" t="s">
        <v>540</v>
      </c>
      <c r="G39" s="147"/>
      <c r="H39" s="51">
        <v>0</v>
      </c>
      <c r="I39" s="60">
        <v>0</v>
      </c>
      <c r="J39" s="470"/>
      <c r="K39" s="673"/>
      <c r="L39" s="685"/>
    </row>
    <row r="40" spans="2:12" s="674" customFormat="1" ht="39.6" x14ac:dyDescent="0.25">
      <c r="B40" s="672"/>
      <c r="C40" s="469" t="s">
        <v>581</v>
      </c>
      <c r="D40" s="51">
        <v>0.03</v>
      </c>
      <c r="E40" s="312" t="s">
        <v>859</v>
      </c>
      <c r="F40" s="663" t="s">
        <v>540</v>
      </c>
      <c r="G40" s="78"/>
      <c r="H40" s="51">
        <v>0</v>
      </c>
      <c r="I40" s="51">
        <v>0</v>
      </c>
      <c r="J40" s="470"/>
      <c r="K40" s="673"/>
      <c r="L40" s="685"/>
    </row>
    <row r="41" spans="2:12" s="674" customFormat="1" ht="13.8" thickBot="1" x14ac:dyDescent="0.3">
      <c r="B41" s="672"/>
      <c r="C41" s="469" t="s">
        <v>582</v>
      </c>
      <c r="D41" s="51">
        <v>0.03</v>
      </c>
      <c r="E41" s="312" t="s">
        <v>731</v>
      </c>
      <c r="F41" s="663" t="s">
        <v>540</v>
      </c>
      <c r="G41" s="251"/>
      <c r="H41" s="51">
        <v>0</v>
      </c>
      <c r="I41" s="51">
        <v>0</v>
      </c>
      <c r="J41" s="470"/>
      <c r="K41" s="673"/>
      <c r="L41" s="685"/>
    </row>
    <row r="42" spans="2:12" s="435" customFormat="1" ht="14.4" thickBot="1" x14ac:dyDescent="0.3">
      <c r="B42" s="432"/>
      <c r="C42" s="426" t="s">
        <v>70</v>
      </c>
      <c r="D42" s="30">
        <f>SUM(D39:D41)</f>
        <v>0.1</v>
      </c>
      <c r="E42" s="778"/>
      <c r="F42" s="779"/>
      <c r="G42" s="779"/>
      <c r="H42" s="780"/>
      <c r="I42" s="62">
        <f>SUM(I39:I41)</f>
        <v>0</v>
      </c>
      <c r="J42" s="655"/>
      <c r="K42" s="434"/>
    </row>
    <row r="43" spans="2:12" s="435" customFormat="1" ht="14.4" thickBot="1" x14ac:dyDescent="0.3">
      <c r="B43" s="432"/>
      <c r="C43" s="440" t="s">
        <v>71</v>
      </c>
      <c r="D43" s="37">
        <f>D42+D36+D28+D15</f>
        <v>1</v>
      </c>
      <c r="E43" s="799"/>
      <c r="F43" s="799"/>
      <c r="G43" s="799"/>
      <c r="H43" s="799"/>
      <c r="I43" s="799"/>
      <c r="J43" s="800"/>
      <c r="K43" s="434"/>
    </row>
    <row r="44" spans="2:12" s="435" customFormat="1" ht="14.4" thickBot="1" x14ac:dyDescent="0.3">
      <c r="B44" s="432"/>
      <c r="C44" s="801" t="s">
        <v>72</v>
      </c>
      <c r="D44" s="802"/>
      <c r="E44" s="802"/>
      <c r="F44" s="802"/>
      <c r="G44" s="803"/>
      <c r="H44" s="787">
        <f>I42+I36+I28+I15</f>
        <v>0</v>
      </c>
      <c r="I44" s="788"/>
      <c r="J44" s="789"/>
      <c r="K44" s="434"/>
    </row>
    <row r="45" spans="2:12" ht="28.2" thickBot="1" x14ac:dyDescent="0.5">
      <c r="B45" s="441"/>
      <c r="C45" s="442"/>
      <c r="D45" s="442"/>
      <c r="E45" s="443"/>
      <c r="F45" s="668"/>
      <c r="G45" s="444"/>
      <c r="H45" s="445"/>
      <c r="I45" s="445"/>
      <c r="J45" s="446"/>
      <c r="K45" s="447"/>
    </row>
  </sheetData>
  <mergeCells count="14">
    <mergeCell ref="C44:G44"/>
    <mergeCell ref="H44:J44"/>
    <mergeCell ref="E28:H28"/>
    <mergeCell ref="C29:J29"/>
    <mergeCell ref="E36:H36"/>
    <mergeCell ref="C37:J37"/>
    <mergeCell ref="E42:H42"/>
    <mergeCell ref="E43:J43"/>
    <mergeCell ref="C16:J16"/>
    <mergeCell ref="C3:F3"/>
    <mergeCell ref="G3:J3"/>
    <mergeCell ref="G4:J4"/>
    <mergeCell ref="C5:J5"/>
    <mergeCell ref="E15:H15"/>
  </mergeCells>
  <conditionalFormatting sqref="D43">
    <cfRule type="cellIs" dxfId="17" priority="1" stopIfTrue="1" operator="greaterThan">
      <formula>1</formula>
    </cfRule>
    <cfRule type="cellIs" dxfId="16" priority="2" stopIfTrue="1" operator="lessThan">
      <formula>1</formula>
    </cfRule>
  </conditionalFormatting>
  <conditionalFormatting sqref="I15">
    <cfRule type="expression" dxfId="15" priority="3" stopIfTrue="1">
      <formula>"if($H$14/$D$14)&lt;80"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2E2B-493C-4EA8-B6A3-4198A107247C}">
  <sheetPr codeName="Sheet22"/>
  <dimension ref="B1:L44"/>
  <sheetViews>
    <sheetView zoomScale="80" zoomScaleNormal="80" workbookViewId="0">
      <selection activeCell="L61" sqref="L61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2.21875" style="385" customWidth="1"/>
    <col min="4" max="4" width="15" style="385" customWidth="1"/>
    <col min="5" max="5" width="49.5546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36.77734375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8.5500000000000007" customHeight="1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732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ht="42" thickBot="1" x14ac:dyDescent="0.3">
      <c r="B6" s="405"/>
      <c r="C6" s="654" t="s">
        <v>36</v>
      </c>
      <c r="D6" s="448" t="s">
        <v>37</v>
      </c>
      <c r="E6" s="655" t="s">
        <v>38</v>
      </c>
      <c r="F6" s="656" t="s">
        <v>535</v>
      </c>
      <c r="G6" s="655" t="s">
        <v>39</v>
      </c>
      <c r="H6" s="448" t="s">
        <v>40</v>
      </c>
      <c r="I6" s="448" t="s">
        <v>41</v>
      </c>
      <c r="J6" s="657" t="s">
        <v>42</v>
      </c>
      <c r="K6" s="410"/>
    </row>
    <row r="7" spans="2:12" s="417" customFormat="1" x14ac:dyDescent="0.25">
      <c r="B7" s="411"/>
      <c r="C7" s="451" t="s">
        <v>536</v>
      </c>
      <c r="D7" s="39">
        <v>2.5000000000000001E-2</v>
      </c>
      <c r="E7" s="329" t="s">
        <v>125</v>
      </c>
      <c r="F7" s="658" t="s">
        <v>537</v>
      </c>
      <c r="G7" s="461"/>
      <c r="H7" s="79">
        <v>0</v>
      </c>
      <c r="I7" s="60">
        <v>0</v>
      </c>
      <c r="J7" s="659"/>
      <c r="K7" s="416"/>
    </row>
    <row r="8" spans="2:12" s="417" customFormat="1" x14ac:dyDescent="0.25">
      <c r="B8" s="411"/>
      <c r="C8" s="452" t="s">
        <v>733</v>
      </c>
      <c r="D8" s="51">
        <v>0.1</v>
      </c>
      <c r="E8" s="710">
        <v>163.47499999999999</v>
      </c>
      <c r="F8" s="660" t="s">
        <v>540</v>
      </c>
      <c r="G8" s="462"/>
      <c r="H8" s="79">
        <v>0</v>
      </c>
      <c r="I8" s="51">
        <v>0</v>
      </c>
      <c r="J8" s="450"/>
      <c r="K8" s="416"/>
    </row>
    <row r="9" spans="2:12" s="417" customFormat="1" x14ac:dyDescent="0.25">
      <c r="B9" s="421"/>
      <c r="C9" s="452" t="s">
        <v>734</v>
      </c>
      <c r="D9" s="51">
        <v>0.05</v>
      </c>
      <c r="E9" s="711">
        <v>4.3289999999999997</v>
      </c>
      <c r="F9" s="660" t="s">
        <v>540</v>
      </c>
      <c r="G9" s="450"/>
      <c r="H9" s="79">
        <v>0</v>
      </c>
      <c r="I9" s="51">
        <v>0</v>
      </c>
      <c r="J9" s="450"/>
      <c r="K9" s="422"/>
    </row>
    <row r="10" spans="2:12" s="417" customFormat="1" x14ac:dyDescent="0.25">
      <c r="B10" s="421"/>
      <c r="C10" s="452" t="s">
        <v>735</v>
      </c>
      <c r="D10" s="51">
        <v>0.05</v>
      </c>
      <c r="E10" s="712">
        <v>25.7</v>
      </c>
      <c r="F10" s="660" t="s">
        <v>540</v>
      </c>
      <c r="G10" s="450"/>
      <c r="H10" s="79">
        <v>0</v>
      </c>
      <c r="I10" s="51">
        <v>0</v>
      </c>
      <c r="J10" s="450"/>
      <c r="K10" s="422"/>
    </row>
    <row r="11" spans="2:12" s="417" customFormat="1" x14ac:dyDescent="0.25">
      <c r="B11" s="411"/>
      <c r="C11" s="453" t="s">
        <v>736</v>
      </c>
      <c r="D11" s="51">
        <v>0.05</v>
      </c>
      <c r="E11" s="463">
        <v>0.1182</v>
      </c>
      <c r="F11" s="660" t="s">
        <v>540</v>
      </c>
      <c r="G11" s="450"/>
      <c r="H11" s="79">
        <v>0</v>
      </c>
      <c r="I11" s="51">
        <v>0</v>
      </c>
      <c r="J11" s="450"/>
      <c r="K11" s="416"/>
    </row>
    <row r="12" spans="2:12" s="417" customFormat="1" x14ac:dyDescent="0.25">
      <c r="B12" s="411"/>
      <c r="C12" s="452" t="s">
        <v>127</v>
      </c>
      <c r="D12" s="51">
        <v>7.4999999999999997E-2</v>
      </c>
      <c r="E12" s="710">
        <v>-72.331000000000003</v>
      </c>
      <c r="F12" s="660" t="s">
        <v>540</v>
      </c>
      <c r="G12" s="462"/>
      <c r="H12" s="79">
        <v>0</v>
      </c>
      <c r="I12" s="51">
        <v>0</v>
      </c>
      <c r="J12" s="450"/>
      <c r="K12" s="416"/>
    </row>
    <row r="13" spans="2:12" s="417" customFormat="1" ht="26.4" x14ac:dyDescent="0.25">
      <c r="B13" s="421"/>
      <c r="C13" s="452" t="s">
        <v>81</v>
      </c>
      <c r="D13" s="51">
        <v>2.5000000000000001E-2</v>
      </c>
      <c r="E13" s="463">
        <v>0.245</v>
      </c>
      <c r="F13" s="660" t="s">
        <v>540</v>
      </c>
      <c r="G13" s="450"/>
      <c r="H13" s="79">
        <v>0</v>
      </c>
      <c r="I13" s="51">
        <v>0</v>
      </c>
      <c r="J13" s="450"/>
      <c r="K13" s="422"/>
    </row>
    <row r="14" spans="2:12" s="417" customFormat="1" ht="26.4" x14ac:dyDescent="0.25">
      <c r="B14" s="411"/>
      <c r="C14" s="453" t="s">
        <v>129</v>
      </c>
      <c r="D14" s="51">
        <v>0.05</v>
      </c>
      <c r="E14" s="712">
        <v>75</v>
      </c>
      <c r="F14" s="660" t="s">
        <v>540</v>
      </c>
      <c r="G14" s="450"/>
      <c r="H14" s="79">
        <v>0</v>
      </c>
      <c r="I14" s="51">
        <v>0</v>
      </c>
      <c r="J14" s="450"/>
      <c r="K14" s="416"/>
    </row>
    <row r="15" spans="2:12" s="417" customFormat="1" ht="13.8" thickBot="1" x14ac:dyDescent="0.3">
      <c r="B15" s="421"/>
      <c r="C15" s="452" t="s">
        <v>130</v>
      </c>
      <c r="D15" s="51">
        <v>7.4999999999999997E-2</v>
      </c>
      <c r="E15" s="457">
        <v>5.7000000000000002E-2</v>
      </c>
      <c r="F15" s="660" t="s">
        <v>540</v>
      </c>
      <c r="G15" s="661"/>
      <c r="H15" s="79">
        <v>0</v>
      </c>
      <c r="I15" s="53">
        <v>0</v>
      </c>
      <c r="J15" s="81"/>
      <c r="K15" s="422"/>
    </row>
    <row r="16" spans="2:12" s="430" customFormat="1" ht="14.4" thickBot="1" x14ac:dyDescent="0.3">
      <c r="B16" s="425"/>
      <c r="C16" s="662" t="s">
        <v>49</v>
      </c>
      <c r="D16" s="30">
        <f>SUM(D7:D15)</f>
        <v>0.5</v>
      </c>
      <c r="E16" s="779"/>
      <c r="F16" s="779"/>
      <c r="G16" s="779"/>
      <c r="H16" s="779"/>
      <c r="I16" s="82">
        <f>SUM(I7:I15)</f>
        <v>0</v>
      </c>
      <c r="J16" s="657"/>
      <c r="K16" s="429"/>
    </row>
    <row r="17" spans="2:11" s="404" customFormat="1" ht="16.2" thickBot="1" x14ac:dyDescent="0.35">
      <c r="B17" s="403"/>
      <c r="C17" s="784" t="s">
        <v>50</v>
      </c>
      <c r="D17" s="785"/>
      <c r="E17" s="785"/>
      <c r="F17" s="785"/>
      <c r="G17" s="785"/>
      <c r="H17" s="785"/>
      <c r="I17" s="785"/>
      <c r="J17" s="786"/>
      <c r="K17" s="431"/>
    </row>
    <row r="18" spans="2:11" ht="42" thickBot="1" x14ac:dyDescent="0.3">
      <c r="B18" s="405"/>
      <c r="C18" s="654" t="s">
        <v>36</v>
      </c>
      <c r="D18" s="448" t="s">
        <v>37</v>
      </c>
      <c r="E18" s="657" t="s">
        <v>38</v>
      </c>
      <c r="F18" s="656" t="s">
        <v>535</v>
      </c>
      <c r="G18" s="655" t="s">
        <v>39</v>
      </c>
      <c r="H18" s="448" t="s">
        <v>40</v>
      </c>
      <c r="I18" s="448" t="s">
        <v>41</v>
      </c>
      <c r="J18" s="657" t="s">
        <v>42</v>
      </c>
      <c r="K18" s="410"/>
    </row>
    <row r="19" spans="2:11" s="417" customFormat="1" ht="26.4" x14ac:dyDescent="0.25">
      <c r="B19" s="421"/>
      <c r="C19" s="454" t="s">
        <v>597</v>
      </c>
      <c r="D19" s="49">
        <v>0.02</v>
      </c>
      <c r="E19" s="329" t="s">
        <v>553</v>
      </c>
      <c r="F19" s="663" t="s">
        <v>540</v>
      </c>
      <c r="G19" s="461"/>
      <c r="H19" s="51">
        <v>0</v>
      </c>
      <c r="I19" s="60">
        <v>0</v>
      </c>
      <c r="J19" s="459"/>
      <c r="K19" s="422"/>
    </row>
    <row r="20" spans="2:11" s="417" customFormat="1" x14ac:dyDescent="0.25">
      <c r="B20" s="421"/>
      <c r="C20" s="455" t="s">
        <v>737</v>
      </c>
      <c r="D20" s="51">
        <v>0.02</v>
      </c>
      <c r="E20" s="329" t="s">
        <v>556</v>
      </c>
      <c r="F20" s="663" t="s">
        <v>540</v>
      </c>
      <c r="G20" s="462"/>
      <c r="H20" s="51">
        <v>0</v>
      </c>
      <c r="I20" s="51">
        <v>0</v>
      </c>
      <c r="J20" s="449"/>
      <c r="K20" s="422"/>
    </row>
    <row r="21" spans="2:11" s="417" customFormat="1" x14ac:dyDescent="0.25">
      <c r="B21" s="421"/>
      <c r="C21" s="455" t="s">
        <v>139</v>
      </c>
      <c r="D21" s="51">
        <v>0.01</v>
      </c>
      <c r="E21" s="329" t="s">
        <v>738</v>
      </c>
      <c r="F21" s="663" t="s">
        <v>540</v>
      </c>
      <c r="G21" s="462"/>
      <c r="H21" s="51">
        <v>0</v>
      </c>
      <c r="I21" s="51">
        <v>0</v>
      </c>
      <c r="J21" s="449"/>
      <c r="K21" s="422"/>
    </row>
    <row r="22" spans="2:11" s="417" customFormat="1" x14ac:dyDescent="0.25">
      <c r="B22" s="421"/>
      <c r="C22" s="455" t="s">
        <v>141</v>
      </c>
      <c r="D22" s="126">
        <v>0.03</v>
      </c>
      <c r="E22" s="329">
        <v>0.06</v>
      </c>
      <c r="F22" s="663" t="s">
        <v>540</v>
      </c>
      <c r="G22" s="337"/>
      <c r="H22" s="51">
        <v>0</v>
      </c>
      <c r="I22" s="51">
        <v>0</v>
      </c>
      <c r="J22" s="450"/>
      <c r="K22" s="422"/>
    </row>
    <row r="23" spans="2:11" s="417" customFormat="1" x14ac:dyDescent="0.25">
      <c r="B23" s="421"/>
      <c r="C23" s="455" t="s">
        <v>739</v>
      </c>
      <c r="D23" s="51">
        <v>0.02</v>
      </c>
      <c r="E23" s="463">
        <v>0.13</v>
      </c>
      <c r="F23" s="663" t="s">
        <v>540</v>
      </c>
      <c r="G23" s="450"/>
      <c r="H23" s="51">
        <v>0</v>
      </c>
      <c r="I23" s="51">
        <v>0</v>
      </c>
      <c r="J23" s="81"/>
      <c r="K23" s="422"/>
    </row>
    <row r="24" spans="2:11" s="417" customFormat="1" x14ac:dyDescent="0.25">
      <c r="B24" s="421"/>
      <c r="C24" s="455" t="s">
        <v>740</v>
      </c>
      <c r="D24" s="126">
        <v>0.05</v>
      </c>
      <c r="E24" s="329">
        <v>0.44900000000000001</v>
      </c>
      <c r="F24" s="663" t="s">
        <v>540</v>
      </c>
      <c r="G24" s="337"/>
      <c r="H24" s="51">
        <v>0</v>
      </c>
      <c r="I24" s="51">
        <v>0</v>
      </c>
      <c r="J24" s="449"/>
      <c r="K24" s="422"/>
    </row>
    <row r="25" spans="2:11" s="417" customFormat="1" x14ac:dyDescent="0.25">
      <c r="B25" s="421"/>
      <c r="C25" s="455" t="s">
        <v>680</v>
      </c>
      <c r="D25" s="51">
        <v>0.02</v>
      </c>
      <c r="E25" s="463">
        <v>126.5</v>
      </c>
      <c r="F25" s="663" t="s">
        <v>540</v>
      </c>
      <c r="G25" s="450"/>
      <c r="H25" s="51">
        <v>0</v>
      </c>
      <c r="I25" s="51">
        <v>0</v>
      </c>
      <c r="J25" s="81"/>
      <c r="K25" s="422"/>
    </row>
    <row r="26" spans="2:11" s="417" customFormat="1" x14ac:dyDescent="0.25">
      <c r="B26" s="421"/>
      <c r="C26" s="455" t="s">
        <v>741</v>
      </c>
      <c r="D26" s="51">
        <v>0.02</v>
      </c>
      <c r="E26" s="463">
        <v>0.05</v>
      </c>
      <c r="F26" s="663" t="s">
        <v>540</v>
      </c>
      <c r="G26" s="450"/>
      <c r="H26" s="51">
        <v>0</v>
      </c>
      <c r="I26" s="51">
        <v>0</v>
      </c>
      <c r="J26" s="81"/>
      <c r="K26" s="422"/>
    </row>
    <row r="27" spans="2:11" s="417" customFormat="1" ht="26.4" x14ac:dyDescent="0.25">
      <c r="B27" s="421"/>
      <c r="C27" s="455" t="s">
        <v>608</v>
      </c>
      <c r="D27" s="126">
        <v>0.02</v>
      </c>
      <c r="E27" s="329" t="s">
        <v>567</v>
      </c>
      <c r="F27" s="663" t="s">
        <v>540</v>
      </c>
      <c r="G27" s="337"/>
      <c r="H27" s="51">
        <v>0</v>
      </c>
      <c r="I27" s="51">
        <v>0</v>
      </c>
      <c r="J27" s="449" t="s">
        <v>742</v>
      </c>
      <c r="K27" s="422"/>
    </row>
    <row r="28" spans="2:11" s="417" customFormat="1" ht="13.8" thickBot="1" x14ac:dyDescent="0.3">
      <c r="B28" s="421"/>
      <c r="C28" s="455" t="s">
        <v>609</v>
      </c>
      <c r="D28" s="126">
        <v>0.02</v>
      </c>
      <c r="E28" s="464" t="s">
        <v>570</v>
      </c>
      <c r="F28" s="663" t="s">
        <v>540</v>
      </c>
      <c r="G28" s="337"/>
      <c r="H28" s="51">
        <v>0</v>
      </c>
      <c r="I28" s="51">
        <v>0</v>
      </c>
      <c r="J28" s="450" t="s">
        <v>743</v>
      </c>
      <c r="K28" s="422"/>
    </row>
    <row r="29" spans="2:11" s="435" customFormat="1" ht="14.4" thickBot="1" x14ac:dyDescent="0.3">
      <c r="B29" s="432"/>
      <c r="C29" s="662" t="s">
        <v>55</v>
      </c>
      <c r="D29" s="30">
        <f>SUM(D19:D28)</f>
        <v>0.22999999999999998</v>
      </c>
      <c r="E29" s="779"/>
      <c r="F29" s="779"/>
      <c r="G29" s="779"/>
      <c r="H29" s="779"/>
      <c r="I29" s="62">
        <f>SUM(I19:I28)</f>
        <v>0</v>
      </c>
      <c r="J29" s="657"/>
      <c r="K29" s="434"/>
    </row>
    <row r="30" spans="2:11" s="404" customFormat="1" ht="16.2" thickBot="1" x14ac:dyDescent="0.35">
      <c r="B30" s="403"/>
      <c r="C30" s="784" t="s">
        <v>56</v>
      </c>
      <c r="D30" s="785"/>
      <c r="E30" s="785"/>
      <c r="F30" s="785"/>
      <c r="G30" s="785"/>
      <c r="H30" s="785"/>
      <c r="I30" s="785"/>
      <c r="J30" s="786"/>
      <c r="K30" s="431"/>
    </row>
    <row r="31" spans="2:11" ht="42" thickBot="1" x14ac:dyDescent="0.3">
      <c r="B31" s="405"/>
      <c r="C31" s="654" t="s">
        <v>36</v>
      </c>
      <c r="D31" s="448" t="s">
        <v>37</v>
      </c>
      <c r="E31" s="657" t="s">
        <v>38</v>
      </c>
      <c r="F31" s="656" t="s">
        <v>535</v>
      </c>
      <c r="G31" s="655" t="s">
        <v>39</v>
      </c>
      <c r="H31" s="448" t="s">
        <v>40</v>
      </c>
      <c r="I31" s="448" t="s">
        <v>41</v>
      </c>
      <c r="J31" s="657" t="s">
        <v>42</v>
      </c>
      <c r="K31" s="410"/>
    </row>
    <row r="32" spans="2:11" s="417" customFormat="1" ht="26.4" x14ac:dyDescent="0.25">
      <c r="B32" s="421"/>
      <c r="C32" s="458" t="s">
        <v>572</v>
      </c>
      <c r="D32" s="49">
        <v>7.0000000000000007E-2</v>
      </c>
      <c r="E32" s="465">
        <v>11000</v>
      </c>
      <c r="F32" s="664" t="s">
        <v>540</v>
      </c>
      <c r="G32" s="73"/>
      <c r="H32" s="51">
        <v>0</v>
      </c>
      <c r="I32" s="60">
        <v>0</v>
      </c>
      <c r="J32" s="459"/>
      <c r="K32" s="422"/>
    </row>
    <row r="33" spans="2:12" s="417" customFormat="1" x14ac:dyDescent="0.25">
      <c r="B33" s="421"/>
      <c r="C33" s="455" t="s">
        <v>574</v>
      </c>
      <c r="D33" s="51">
        <v>0.04</v>
      </c>
      <c r="E33" s="465">
        <v>400</v>
      </c>
      <c r="F33" s="664" t="s">
        <v>540</v>
      </c>
      <c r="G33" s="78"/>
      <c r="H33" s="51">
        <v>0</v>
      </c>
      <c r="I33" s="51">
        <v>0</v>
      </c>
      <c r="J33" s="449"/>
      <c r="K33" s="422"/>
    </row>
    <row r="34" spans="2:12" s="417" customFormat="1" x14ac:dyDescent="0.25">
      <c r="B34" s="421"/>
      <c r="C34" s="455" t="s">
        <v>744</v>
      </c>
      <c r="D34" s="51">
        <v>0.03</v>
      </c>
      <c r="E34" s="697">
        <v>0.84</v>
      </c>
      <c r="F34" s="663" t="s">
        <v>540</v>
      </c>
      <c r="G34" s="78"/>
      <c r="H34" s="51">
        <v>0</v>
      </c>
      <c r="I34" s="72">
        <v>0</v>
      </c>
      <c r="J34" s="450"/>
      <c r="K34" s="422"/>
    </row>
    <row r="35" spans="2:12" s="417" customFormat="1" ht="13.8" thickBot="1" x14ac:dyDescent="0.3">
      <c r="B35" s="421"/>
      <c r="C35" s="455" t="s">
        <v>745</v>
      </c>
      <c r="D35" s="51">
        <v>0.03</v>
      </c>
      <c r="E35" s="467">
        <v>0.8</v>
      </c>
      <c r="F35" s="663" t="s">
        <v>540</v>
      </c>
      <c r="G35" s="78"/>
      <c r="H35" s="51">
        <v>0</v>
      </c>
      <c r="I35" s="51">
        <v>0</v>
      </c>
      <c r="J35" s="81"/>
      <c r="K35" s="422"/>
    </row>
    <row r="36" spans="2:12" s="435" customFormat="1" ht="14.4" thickBot="1" x14ac:dyDescent="0.3">
      <c r="B36" s="432"/>
      <c r="C36" s="662" t="s">
        <v>63</v>
      </c>
      <c r="D36" s="30">
        <f>SUM(D32:D35)</f>
        <v>0.17</v>
      </c>
      <c r="E36" s="779"/>
      <c r="F36" s="779"/>
      <c r="G36" s="779"/>
      <c r="H36" s="779"/>
      <c r="I36" s="29">
        <f>SUM(I32:I35)</f>
        <v>0</v>
      </c>
      <c r="J36" s="657"/>
      <c r="K36" s="434"/>
    </row>
    <row r="37" spans="2:12" s="404" customFormat="1" ht="16.2" thickBot="1" x14ac:dyDescent="0.35">
      <c r="B37" s="403"/>
      <c r="C37" s="781" t="s">
        <v>64</v>
      </c>
      <c r="D37" s="782"/>
      <c r="E37" s="782"/>
      <c r="F37" s="782"/>
      <c r="G37" s="782"/>
      <c r="H37" s="782"/>
      <c r="I37" s="782"/>
      <c r="J37" s="786"/>
      <c r="K37" s="431"/>
    </row>
    <row r="38" spans="2:12" ht="28.2" thickBot="1" x14ac:dyDescent="0.3">
      <c r="B38" s="405"/>
      <c r="C38" s="666" t="s">
        <v>36</v>
      </c>
      <c r="D38" s="448" t="s">
        <v>37</v>
      </c>
      <c r="E38" s="657" t="s">
        <v>38</v>
      </c>
      <c r="F38" s="656" t="s">
        <v>535</v>
      </c>
      <c r="G38" s="655" t="s">
        <v>39</v>
      </c>
      <c r="H38" s="448" t="s">
        <v>40</v>
      </c>
      <c r="I38" s="448" t="s">
        <v>41</v>
      </c>
      <c r="J38" s="667" t="s">
        <v>42</v>
      </c>
      <c r="K38" s="410"/>
    </row>
    <row r="39" spans="2:12" s="417" customFormat="1" x14ac:dyDescent="0.25">
      <c r="B39" s="411"/>
      <c r="C39" s="713" t="s">
        <v>94</v>
      </c>
      <c r="D39" s="418">
        <v>0.05</v>
      </c>
      <c r="E39" s="714" t="s">
        <v>746</v>
      </c>
      <c r="F39" s="715" t="s">
        <v>540</v>
      </c>
      <c r="G39" s="716"/>
      <c r="H39" s="418">
        <v>0</v>
      </c>
      <c r="I39" s="414">
        <v>0</v>
      </c>
      <c r="J39" s="717"/>
      <c r="K39" s="416"/>
      <c r="L39" s="439"/>
    </row>
    <row r="40" spans="2:12" s="417" customFormat="1" ht="13.8" thickBot="1" x14ac:dyDescent="0.3">
      <c r="B40" s="411"/>
      <c r="C40" s="713" t="s">
        <v>582</v>
      </c>
      <c r="D40" s="418">
        <v>0.05</v>
      </c>
      <c r="E40" s="718">
        <v>0.84</v>
      </c>
      <c r="F40" s="715" t="s">
        <v>540</v>
      </c>
      <c r="G40" s="719"/>
      <c r="H40" s="418">
        <v>0</v>
      </c>
      <c r="I40" s="418">
        <v>0</v>
      </c>
      <c r="J40" s="717"/>
      <c r="K40" s="416"/>
      <c r="L40" s="439"/>
    </row>
    <row r="41" spans="2:12" s="435" customFormat="1" ht="14.4" thickBot="1" x14ac:dyDescent="0.3">
      <c r="B41" s="432"/>
      <c r="C41" s="426" t="s">
        <v>70</v>
      </c>
      <c r="D41" s="30">
        <f>SUM(D39:D40)</f>
        <v>0.1</v>
      </c>
      <c r="E41" s="778"/>
      <c r="F41" s="779"/>
      <c r="G41" s="779"/>
      <c r="H41" s="780"/>
      <c r="I41" s="62">
        <f>SUM(I39:I40)</f>
        <v>0</v>
      </c>
      <c r="J41" s="655"/>
      <c r="K41" s="434"/>
    </row>
    <row r="42" spans="2:12" s="435" customFormat="1" ht="14.4" thickBot="1" x14ac:dyDescent="0.3">
      <c r="B42" s="432"/>
      <c r="C42" s="440" t="s">
        <v>71</v>
      </c>
      <c r="D42" s="37">
        <f>D41+D36+D29+D16</f>
        <v>1</v>
      </c>
      <c r="E42" s="799"/>
      <c r="F42" s="799"/>
      <c r="G42" s="799"/>
      <c r="H42" s="799"/>
      <c r="I42" s="799"/>
      <c r="J42" s="800"/>
      <c r="K42" s="434"/>
    </row>
    <row r="43" spans="2:12" s="435" customFormat="1" ht="14.4" thickBot="1" x14ac:dyDescent="0.3">
      <c r="B43" s="432"/>
      <c r="C43" s="801" t="s">
        <v>72</v>
      </c>
      <c r="D43" s="802"/>
      <c r="E43" s="802"/>
      <c r="F43" s="802"/>
      <c r="G43" s="803"/>
      <c r="H43" s="787">
        <f>I41+I36+I29+I16</f>
        <v>0</v>
      </c>
      <c r="I43" s="788"/>
      <c r="J43" s="789"/>
      <c r="K43" s="434"/>
    </row>
    <row r="44" spans="2:12" ht="11.55" customHeight="1" thickBot="1" x14ac:dyDescent="0.5">
      <c r="B44" s="441"/>
      <c r="C44" s="442"/>
      <c r="D44" s="442"/>
      <c r="E44" s="443"/>
      <c r="F44" s="668"/>
      <c r="G44" s="444"/>
      <c r="H44" s="445"/>
      <c r="I44" s="445"/>
      <c r="J44" s="446"/>
      <c r="K44" s="447"/>
    </row>
  </sheetData>
  <mergeCells count="14">
    <mergeCell ref="C43:G43"/>
    <mergeCell ref="H43:J43"/>
    <mergeCell ref="E29:H29"/>
    <mergeCell ref="C30:J30"/>
    <mergeCell ref="E36:H36"/>
    <mergeCell ref="C37:J37"/>
    <mergeCell ref="E41:H41"/>
    <mergeCell ref="E42:J42"/>
    <mergeCell ref="C17:J17"/>
    <mergeCell ref="C3:F3"/>
    <mergeCell ref="G3:J3"/>
    <mergeCell ref="G4:J4"/>
    <mergeCell ref="C5:J5"/>
    <mergeCell ref="E16:H16"/>
  </mergeCells>
  <conditionalFormatting sqref="D42">
    <cfRule type="cellIs" dxfId="14" priority="1" stopIfTrue="1" operator="greaterThan">
      <formula>1</formula>
    </cfRule>
    <cfRule type="cellIs" dxfId="13" priority="2" stopIfTrue="1" operator="lessThan">
      <formula>1</formula>
    </cfRule>
  </conditionalFormatting>
  <conditionalFormatting sqref="I16">
    <cfRule type="expression" dxfId="12" priority="3" stopIfTrue="1">
      <formula>"if($H$14/$D$14)&lt;80"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378D-2409-4A12-B4BE-C2CEF19067E9}">
  <sheetPr codeName="Sheet23"/>
  <dimension ref="B1:L44"/>
  <sheetViews>
    <sheetView zoomScale="60" zoomScaleNormal="60" workbookViewId="0">
      <selection activeCell="E38" sqref="E38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116" style="385" customWidth="1"/>
    <col min="4" max="4" width="15" style="385" customWidth="1"/>
    <col min="5" max="5" width="56.21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64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10.35" customHeight="1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747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ht="42" thickBot="1" x14ac:dyDescent="0.3">
      <c r="B6" s="405"/>
      <c r="C6" s="654" t="s">
        <v>36</v>
      </c>
      <c r="D6" s="448" t="s">
        <v>37</v>
      </c>
      <c r="E6" s="655" t="s">
        <v>38</v>
      </c>
      <c r="F6" s="656" t="s">
        <v>535</v>
      </c>
      <c r="G6" s="655" t="s">
        <v>39</v>
      </c>
      <c r="H6" s="448" t="s">
        <v>40</v>
      </c>
      <c r="I6" s="448" t="s">
        <v>41</v>
      </c>
      <c r="J6" s="657" t="s">
        <v>42</v>
      </c>
      <c r="K6" s="410"/>
    </row>
    <row r="7" spans="2:12" s="417" customFormat="1" ht="15" customHeight="1" x14ac:dyDescent="0.25">
      <c r="B7" s="411"/>
      <c r="C7" s="451" t="s">
        <v>536</v>
      </c>
      <c r="D7" s="39">
        <v>2.5000000000000001E-2</v>
      </c>
      <c r="E7" s="329" t="s">
        <v>125</v>
      </c>
      <c r="F7" s="658" t="s">
        <v>537</v>
      </c>
      <c r="G7" s="461"/>
      <c r="H7" s="79">
        <v>0</v>
      </c>
      <c r="I7" s="60">
        <v>0</v>
      </c>
      <c r="J7" s="659"/>
      <c r="K7" s="416"/>
    </row>
    <row r="8" spans="2:12" s="417" customFormat="1" ht="15" customHeight="1" x14ac:dyDescent="0.25">
      <c r="B8" s="411"/>
      <c r="C8" s="452" t="s">
        <v>748</v>
      </c>
      <c r="D8" s="51">
        <v>0.1</v>
      </c>
      <c r="E8" s="456" t="s">
        <v>749</v>
      </c>
      <c r="F8" s="660" t="s">
        <v>750</v>
      </c>
      <c r="G8" s="462"/>
      <c r="H8" s="79">
        <v>0</v>
      </c>
      <c r="I8" s="51">
        <v>0</v>
      </c>
      <c r="J8" s="450"/>
      <c r="K8" s="416"/>
    </row>
    <row r="9" spans="2:12" s="417" customFormat="1" ht="15" customHeight="1" x14ac:dyDescent="0.25">
      <c r="B9" s="421"/>
      <c r="C9" s="452" t="s">
        <v>751</v>
      </c>
      <c r="D9" s="51">
        <v>0.1</v>
      </c>
      <c r="E9" s="312" t="s">
        <v>752</v>
      </c>
      <c r="F9" s="660" t="s">
        <v>753</v>
      </c>
      <c r="G9" s="450"/>
      <c r="H9" s="79">
        <v>0</v>
      </c>
      <c r="I9" s="51">
        <v>0</v>
      </c>
      <c r="J9" s="450" t="s">
        <v>754</v>
      </c>
      <c r="K9" s="422"/>
    </row>
    <row r="10" spans="2:12" s="417" customFormat="1" ht="15" customHeight="1" x14ac:dyDescent="0.25">
      <c r="B10" s="411"/>
      <c r="C10" s="453" t="s">
        <v>755</v>
      </c>
      <c r="D10" s="51">
        <v>0.05</v>
      </c>
      <c r="E10" s="463">
        <v>6.7000000000000004E-2</v>
      </c>
      <c r="F10" s="739">
        <v>7.0999999999999994E-2</v>
      </c>
      <c r="G10" s="450"/>
      <c r="H10" s="79">
        <v>0</v>
      </c>
      <c r="I10" s="51">
        <v>0</v>
      </c>
      <c r="J10" s="450"/>
      <c r="K10" s="416"/>
    </row>
    <row r="11" spans="2:12" s="417" customFormat="1" ht="15" customHeight="1" x14ac:dyDescent="0.25">
      <c r="B11" s="411"/>
      <c r="C11" s="452" t="s">
        <v>756</v>
      </c>
      <c r="D11" s="51">
        <v>7.4999999999999997E-2</v>
      </c>
      <c r="E11" s="456" t="s">
        <v>757</v>
      </c>
      <c r="F11" s="660" t="s">
        <v>540</v>
      </c>
      <c r="G11" s="462"/>
      <c r="H11" s="79">
        <v>0</v>
      </c>
      <c r="I11" s="51">
        <v>0</v>
      </c>
      <c r="J11" s="450"/>
      <c r="K11" s="416"/>
    </row>
    <row r="12" spans="2:12" s="417" customFormat="1" ht="15" customHeight="1" x14ac:dyDescent="0.25">
      <c r="B12" s="421"/>
      <c r="C12" s="452" t="s">
        <v>758</v>
      </c>
      <c r="D12" s="51">
        <v>2.5000000000000001E-2</v>
      </c>
      <c r="E12" s="737">
        <v>0.52</v>
      </c>
      <c r="F12" s="660" t="s">
        <v>540</v>
      </c>
      <c r="G12" s="450"/>
      <c r="H12" s="79">
        <v>0</v>
      </c>
      <c r="I12" s="51">
        <v>0</v>
      </c>
      <c r="J12" s="450"/>
      <c r="K12" s="422"/>
    </row>
    <row r="13" spans="2:12" s="417" customFormat="1" ht="15" customHeight="1" x14ac:dyDescent="0.25">
      <c r="B13" s="411"/>
      <c r="C13" s="453" t="s">
        <v>83</v>
      </c>
      <c r="D13" s="51">
        <v>0.05</v>
      </c>
      <c r="E13" s="312" t="s">
        <v>759</v>
      </c>
      <c r="F13" s="660" t="s">
        <v>540</v>
      </c>
      <c r="G13" s="450"/>
      <c r="H13" s="79">
        <v>0</v>
      </c>
      <c r="I13" s="51">
        <v>0</v>
      </c>
      <c r="J13" s="450"/>
      <c r="K13" s="416"/>
    </row>
    <row r="14" spans="2:12" s="417" customFormat="1" ht="15" customHeight="1" thickBot="1" x14ac:dyDescent="0.3">
      <c r="B14" s="421"/>
      <c r="C14" s="452" t="s">
        <v>550</v>
      </c>
      <c r="D14" s="51">
        <v>7.4999999999999997E-2</v>
      </c>
      <c r="E14" s="457">
        <v>0.113</v>
      </c>
      <c r="F14" s="660">
        <v>0.11</v>
      </c>
      <c r="G14" s="661"/>
      <c r="H14" s="79">
        <v>0</v>
      </c>
      <c r="I14" s="53">
        <v>0</v>
      </c>
      <c r="J14" s="81"/>
      <c r="K14" s="422"/>
    </row>
    <row r="15" spans="2:12" s="430" customFormat="1" ht="14.4" thickBot="1" x14ac:dyDescent="0.3">
      <c r="B15" s="425"/>
      <c r="C15" s="662" t="s">
        <v>49</v>
      </c>
      <c r="D15" s="30">
        <f>SUM(D7:D14)</f>
        <v>0.5</v>
      </c>
      <c r="E15" s="779"/>
      <c r="F15" s="779"/>
      <c r="G15" s="779"/>
      <c r="H15" s="779"/>
      <c r="I15" s="82">
        <f>SUM(I7:I14)</f>
        <v>0</v>
      </c>
      <c r="J15" s="657"/>
      <c r="K15" s="429"/>
    </row>
    <row r="16" spans="2:12" s="404" customFormat="1" ht="16.2" thickBot="1" x14ac:dyDescent="0.35">
      <c r="B16" s="403"/>
      <c r="C16" s="784" t="s">
        <v>50</v>
      </c>
      <c r="D16" s="785"/>
      <c r="E16" s="785"/>
      <c r="F16" s="785"/>
      <c r="G16" s="785"/>
      <c r="H16" s="785"/>
      <c r="I16" s="785"/>
      <c r="J16" s="786"/>
      <c r="K16" s="431"/>
    </row>
    <row r="17" spans="2:11" ht="42" thickBot="1" x14ac:dyDescent="0.3">
      <c r="B17" s="405"/>
      <c r="C17" s="654" t="s">
        <v>36</v>
      </c>
      <c r="D17" s="448" t="s">
        <v>37</v>
      </c>
      <c r="E17" s="657" t="s">
        <v>38</v>
      </c>
      <c r="F17" s="656" t="s">
        <v>535</v>
      </c>
      <c r="G17" s="655" t="s">
        <v>39</v>
      </c>
      <c r="H17" s="448" t="s">
        <v>40</v>
      </c>
      <c r="I17" s="448" t="s">
        <v>41</v>
      </c>
      <c r="J17" s="657" t="s">
        <v>42</v>
      </c>
      <c r="K17" s="410"/>
    </row>
    <row r="18" spans="2:11" s="417" customFormat="1" ht="15" customHeight="1" x14ac:dyDescent="0.25">
      <c r="B18" s="421"/>
      <c r="C18" s="125" t="s">
        <v>760</v>
      </c>
      <c r="D18" s="51">
        <v>0.04</v>
      </c>
      <c r="E18" s="738" t="s">
        <v>761</v>
      </c>
      <c r="F18" s="663" t="s">
        <v>540</v>
      </c>
      <c r="G18" s="462"/>
      <c r="H18" s="51">
        <v>0</v>
      </c>
      <c r="I18" s="51">
        <v>0</v>
      </c>
      <c r="J18" s="449" t="s">
        <v>762</v>
      </c>
      <c r="K18" s="422"/>
    </row>
    <row r="19" spans="2:11" s="417" customFormat="1" ht="15" customHeight="1" x14ac:dyDescent="0.25">
      <c r="B19" s="421"/>
      <c r="C19" s="455" t="s">
        <v>763</v>
      </c>
      <c r="D19" s="126">
        <v>0.03</v>
      </c>
      <c r="E19" s="738" t="s">
        <v>764</v>
      </c>
      <c r="F19" s="663" t="s">
        <v>540</v>
      </c>
      <c r="G19" s="337"/>
      <c r="H19" s="51">
        <v>0</v>
      </c>
      <c r="I19" s="51">
        <v>0</v>
      </c>
      <c r="J19" s="449"/>
      <c r="K19" s="422"/>
    </row>
    <row r="20" spans="2:11" s="417" customFormat="1" ht="15" customHeight="1" x14ac:dyDescent="0.25">
      <c r="B20" s="421"/>
      <c r="C20" s="455" t="s">
        <v>765</v>
      </c>
      <c r="D20" s="126">
        <v>0.03</v>
      </c>
      <c r="E20" s="738" t="s">
        <v>766</v>
      </c>
      <c r="F20" s="663" t="s">
        <v>540</v>
      </c>
      <c r="G20" s="337"/>
      <c r="H20" s="51">
        <v>0</v>
      </c>
      <c r="I20" s="51">
        <v>0</v>
      </c>
      <c r="J20" s="449" t="s">
        <v>767</v>
      </c>
      <c r="K20" s="422"/>
    </row>
    <row r="21" spans="2:11" s="417" customFormat="1" ht="26.4" x14ac:dyDescent="0.25">
      <c r="B21" s="421"/>
      <c r="C21" s="455" t="s">
        <v>768</v>
      </c>
      <c r="D21" s="126">
        <v>0.02</v>
      </c>
      <c r="E21" s="738" t="s">
        <v>769</v>
      </c>
      <c r="F21" s="663" t="s">
        <v>540</v>
      </c>
      <c r="G21" s="337"/>
      <c r="H21" s="51"/>
      <c r="I21" s="51"/>
      <c r="J21" s="449"/>
      <c r="K21" s="422"/>
    </row>
    <row r="22" spans="2:11" s="417" customFormat="1" ht="15" customHeight="1" x14ac:dyDescent="0.25">
      <c r="B22" s="421"/>
      <c r="C22" s="125" t="s">
        <v>770</v>
      </c>
      <c r="D22" s="126">
        <v>0.02</v>
      </c>
      <c r="E22" s="738" t="s">
        <v>771</v>
      </c>
      <c r="F22" s="663" t="s">
        <v>540</v>
      </c>
      <c r="G22" s="337"/>
      <c r="H22" s="51"/>
      <c r="I22" s="51"/>
      <c r="J22" s="449" t="s">
        <v>772</v>
      </c>
      <c r="K22" s="422"/>
    </row>
    <row r="23" spans="2:11" s="417" customFormat="1" ht="15" customHeight="1" x14ac:dyDescent="0.25">
      <c r="B23" s="421"/>
      <c r="C23" s="125" t="s">
        <v>773</v>
      </c>
      <c r="D23" s="126">
        <v>0.02</v>
      </c>
      <c r="E23" s="738" t="s">
        <v>771</v>
      </c>
      <c r="F23" s="663"/>
      <c r="G23" s="337"/>
      <c r="H23" s="51"/>
      <c r="I23" s="51"/>
      <c r="J23" s="449" t="s">
        <v>772</v>
      </c>
      <c r="K23" s="422"/>
    </row>
    <row r="24" spans="2:11" s="417" customFormat="1" ht="15" customHeight="1" x14ac:dyDescent="0.25">
      <c r="B24" s="421"/>
      <c r="C24" s="125" t="s">
        <v>774</v>
      </c>
      <c r="D24" s="126">
        <v>0.02</v>
      </c>
      <c r="E24" s="738" t="s">
        <v>771</v>
      </c>
      <c r="F24" s="663"/>
      <c r="G24" s="337"/>
      <c r="H24" s="51"/>
      <c r="I24" s="51"/>
      <c r="J24" s="449" t="s">
        <v>772</v>
      </c>
      <c r="K24" s="422"/>
    </row>
    <row r="25" spans="2:11" s="417" customFormat="1" ht="15" customHeight="1" x14ac:dyDescent="0.25">
      <c r="B25" s="421"/>
      <c r="C25" s="455" t="s">
        <v>775</v>
      </c>
      <c r="D25" s="126">
        <v>0.03</v>
      </c>
      <c r="E25" s="738" t="s">
        <v>776</v>
      </c>
      <c r="F25" s="663" t="s">
        <v>540</v>
      </c>
      <c r="G25" s="337"/>
      <c r="H25" s="51"/>
      <c r="I25" s="51"/>
      <c r="J25" s="449" t="s">
        <v>777</v>
      </c>
      <c r="K25" s="422"/>
    </row>
    <row r="26" spans="2:11" s="417" customFormat="1" ht="15" customHeight="1" x14ac:dyDescent="0.25">
      <c r="B26" s="421"/>
      <c r="C26" s="455" t="s">
        <v>566</v>
      </c>
      <c r="D26" s="126">
        <v>0.02</v>
      </c>
      <c r="E26" s="738" t="s">
        <v>567</v>
      </c>
      <c r="F26" s="663" t="s">
        <v>540</v>
      </c>
      <c r="G26" s="337"/>
      <c r="H26" s="51">
        <v>0</v>
      </c>
      <c r="I26" s="51">
        <v>0</v>
      </c>
      <c r="J26" s="449" t="s">
        <v>742</v>
      </c>
      <c r="K26" s="422"/>
    </row>
    <row r="27" spans="2:11" s="417" customFormat="1" ht="15" customHeight="1" thickBot="1" x14ac:dyDescent="0.3">
      <c r="B27" s="421"/>
      <c r="C27" s="455" t="s">
        <v>569</v>
      </c>
      <c r="D27" s="126">
        <v>0.02</v>
      </c>
      <c r="E27" s="464" t="s">
        <v>570</v>
      </c>
      <c r="F27" s="663" t="s">
        <v>540</v>
      </c>
      <c r="G27" s="337"/>
      <c r="H27" s="51">
        <v>0</v>
      </c>
      <c r="I27" s="51">
        <v>0</v>
      </c>
      <c r="J27" s="450" t="s">
        <v>778</v>
      </c>
      <c r="K27" s="422"/>
    </row>
    <row r="28" spans="2:11" s="435" customFormat="1" ht="14.4" thickBot="1" x14ac:dyDescent="0.3">
      <c r="B28" s="432"/>
      <c r="C28" s="662" t="s">
        <v>55</v>
      </c>
      <c r="D28" s="30">
        <f>SUM(D18:D27)</f>
        <v>0.24999999999999997</v>
      </c>
      <c r="E28" s="779"/>
      <c r="F28" s="779"/>
      <c r="G28" s="779"/>
      <c r="H28" s="779"/>
      <c r="I28" s="62">
        <f>SUM(I18:I27)</f>
        <v>0</v>
      </c>
      <c r="J28" s="657"/>
      <c r="K28" s="434"/>
    </row>
    <row r="29" spans="2:11" s="404" customFormat="1" ht="16.2" thickBot="1" x14ac:dyDescent="0.35">
      <c r="B29" s="403"/>
      <c r="C29" s="784" t="s">
        <v>56</v>
      </c>
      <c r="D29" s="785"/>
      <c r="E29" s="785"/>
      <c r="F29" s="785"/>
      <c r="G29" s="785"/>
      <c r="H29" s="785"/>
      <c r="I29" s="785"/>
      <c r="J29" s="786"/>
      <c r="K29" s="431"/>
    </row>
    <row r="30" spans="2:11" ht="42" thickBot="1" x14ac:dyDescent="0.3">
      <c r="B30" s="405"/>
      <c r="C30" s="654" t="s">
        <v>36</v>
      </c>
      <c r="D30" s="448" t="s">
        <v>37</v>
      </c>
      <c r="E30" s="657" t="s">
        <v>38</v>
      </c>
      <c r="F30" s="656" t="s">
        <v>535</v>
      </c>
      <c r="G30" s="655" t="s">
        <v>39</v>
      </c>
      <c r="H30" s="448" t="s">
        <v>40</v>
      </c>
      <c r="I30" s="448" t="s">
        <v>41</v>
      </c>
      <c r="J30" s="657" t="s">
        <v>42</v>
      </c>
      <c r="K30" s="410"/>
    </row>
    <row r="31" spans="2:11" s="417" customFormat="1" ht="15" customHeight="1" x14ac:dyDescent="0.25">
      <c r="B31" s="421"/>
      <c r="C31" s="458" t="s">
        <v>779</v>
      </c>
      <c r="D31" s="49">
        <v>7.0000000000000007E-2</v>
      </c>
      <c r="E31" s="464">
        <v>7098</v>
      </c>
      <c r="F31" s="664">
        <v>7544</v>
      </c>
      <c r="G31" s="73"/>
      <c r="H31" s="51">
        <v>0</v>
      </c>
      <c r="I31" s="60">
        <v>0</v>
      </c>
      <c r="J31" s="459"/>
      <c r="K31" s="422"/>
    </row>
    <row r="32" spans="2:11" s="417" customFormat="1" ht="15" customHeight="1" x14ac:dyDescent="0.25">
      <c r="B32" s="421"/>
      <c r="C32" s="455" t="s">
        <v>780</v>
      </c>
      <c r="D32" s="126">
        <v>0.04</v>
      </c>
      <c r="E32" s="738" t="s">
        <v>781</v>
      </c>
      <c r="F32" s="663" t="s">
        <v>540</v>
      </c>
      <c r="G32" s="337"/>
      <c r="H32" s="51"/>
      <c r="I32" s="51"/>
      <c r="J32" s="449" t="s">
        <v>782</v>
      </c>
      <c r="K32" s="422"/>
    </row>
    <row r="33" spans="2:12" s="417" customFormat="1" ht="15" customHeight="1" thickBot="1" x14ac:dyDescent="0.3">
      <c r="B33" s="421"/>
      <c r="C33" s="455" t="s">
        <v>783</v>
      </c>
      <c r="D33" s="126">
        <v>0.04</v>
      </c>
      <c r="E33" s="738" t="s">
        <v>784</v>
      </c>
      <c r="F33" s="663" t="s">
        <v>540</v>
      </c>
      <c r="G33" s="337"/>
      <c r="H33" s="51"/>
      <c r="I33" s="51"/>
      <c r="J33" s="449" t="s">
        <v>785</v>
      </c>
      <c r="K33" s="422"/>
    </row>
    <row r="34" spans="2:12" s="435" customFormat="1" ht="14.4" thickBot="1" x14ac:dyDescent="0.3">
      <c r="B34" s="432"/>
      <c r="C34" s="662" t="s">
        <v>63</v>
      </c>
      <c r="D34" s="30">
        <f>SUM(D31:D33)</f>
        <v>0.15000000000000002</v>
      </c>
      <c r="E34" s="779"/>
      <c r="F34" s="779"/>
      <c r="G34" s="779"/>
      <c r="H34" s="779"/>
      <c r="I34" s="29">
        <f>SUM(I31:I33)</f>
        <v>0</v>
      </c>
      <c r="J34" s="657"/>
      <c r="K34" s="434"/>
    </row>
    <row r="35" spans="2:12" s="404" customFormat="1" ht="16.2" thickBot="1" x14ac:dyDescent="0.35">
      <c r="B35" s="403"/>
      <c r="C35" s="781" t="s">
        <v>64</v>
      </c>
      <c r="D35" s="782"/>
      <c r="E35" s="782"/>
      <c r="F35" s="782"/>
      <c r="G35" s="782"/>
      <c r="H35" s="782"/>
      <c r="I35" s="782"/>
      <c r="J35" s="786"/>
      <c r="K35" s="431"/>
    </row>
    <row r="36" spans="2:12" ht="42" thickBot="1" x14ac:dyDescent="0.3">
      <c r="B36" s="405"/>
      <c r="C36" s="666" t="s">
        <v>36</v>
      </c>
      <c r="D36" s="448" t="s">
        <v>37</v>
      </c>
      <c r="E36" s="657" t="s">
        <v>38</v>
      </c>
      <c r="F36" s="656" t="s">
        <v>535</v>
      </c>
      <c r="G36" s="655" t="s">
        <v>39</v>
      </c>
      <c r="H36" s="448" t="s">
        <v>40</v>
      </c>
      <c r="I36" s="448" t="s">
        <v>41</v>
      </c>
      <c r="J36" s="667" t="s">
        <v>42</v>
      </c>
      <c r="K36" s="410"/>
    </row>
    <row r="37" spans="2:12" s="417" customFormat="1" ht="15" customHeight="1" x14ac:dyDescent="0.25">
      <c r="B37" s="411"/>
      <c r="C37" s="469" t="s">
        <v>94</v>
      </c>
      <c r="D37" s="51">
        <v>0.04</v>
      </c>
      <c r="E37" s="160" t="s">
        <v>786</v>
      </c>
      <c r="F37" s="663" t="s">
        <v>540</v>
      </c>
      <c r="G37" s="147"/>
      <c r="H37" s="51">
        <v>0</v>
      </c>
      <c r="I37" s="60">
        <v>0</v>
      </c>
      <c r="J37" s="470"/>
      <c r="K37" s="416"/>
      <c r="L37" s="439"/>
    </row>
    <row r="38" spans="2:12" s="417" customFormat="1" ht="39.6" x14ac:dyDescent="0.25">
      <c r="B38" s="411"/>
      <c r="C38" s="469" t="s">
        <v>581</v>
      </c>
      <c r="D38" s="51">
        <v>1.4999999999999999E-2</v>
      </c>
      <c r="E38" s="312" t="s">
        <v>855</v>
      </c>
      <c r="F38" s="663" t="s">
        <v>540</v>
      </c>
      <c r="G38" s="78"/>
      <c r="H38" s="51">
        <v>0</v>
      </c>
      <c r="I38" s="51">
        <v>0</v>
      </c>
      <c r="J38" s="470"/>
      <c r="K38" s="416"/>
      <c r="L38" s="439"/>
    </row>
    <row r="39" spans="2:12" s="417" customFormat="1" x14ac:dyDescent="0.25">
      <c r="B39" s="411"/>
      <c r="C39" s="469" t="s">
        <v>787</v>
      </c>
      <c r="D39" s="51">
        <v>1.4999999999999999E-2</v>
      </c>
      <c r="E39" s="312" t="s">
        <v>788</v>
      </c>
      <c r="F39" s="663" t="s">
        <v>540</v>
      </c>
      <c r="G39" s="78"/>
      <c r="H39" s="51">
        <v>0</v>
      </c>
      <c r="I39" s="51">
        <v>0</v>
      </c>
      <c r="J39" s="470"/>
      <c r="K39" s="416"/>
      <c r="L39" s="439"/>
    </row>
    <row r="40" spans="2:12" s="417" customFormat="1" ht="13.8" thickBot="1" x14ac:dyDescent="0.3">
      <c r="B40" s="411"/>
      <c r="C40" s="469" t="s">
        <v>582</v>
      </c>
      <c r="D40" s="51">
        <v>0.03</v>
      </c>
      <c r="E40" s="312" t="s">
        <v>789</v>
      </c>
      <c r="F40" s="663" t="s">
        <v>540</v>
      </c>
      <c r="G40" s="251"/>
      <c r="H40" s="51">
        <v>0</v>
      </c>
      <c r="I40" s="51">
        <v>0</v>
      </c>
      <c r="J40" s="470"/>
      <c r="K40" s="416"/>
      <c r="L40" s="439"/>
    </row>
    <row r="41" spans="2:12" s="435" customFormat="1" ht="14.4" thickBot="1" x14ac:dyDescent="0.3">
      <c r="B41" s="432"/>
      <c r="C41" s="662" t="s">
        <v>70</v>
      </c>
      <c r="D41" s="30">
        <f>SUM(D37:D40)</f>
        <v>0.1</v>
      </c>
      <c r="E41" s="778"/>
      <c r="F41" s="779"/>
      <c r="G41" s="779"/>
      <c r="H41" s="780"/>
      <c r="I41" s="62">
        <f>SUM(I37:I40)</f>
        <v>0</v>
      </c>
      <c r="J41" s="655"/>
      <c r="K41" s="434"/>
    </row>
    <row r="42" spans="2:12" s="435" customFormat="1" ht="14.4" thickBot="1" x14ac:dyDescent="0.3">
      <c r="B42" s="432"/>
      <c r="C42" s="440" t="s">
        <v>71</v>
      </c>
      <c r="D42" s="37">
        <f>D41+D34+D28+D15</f>
        <v>1</v>
      </c>
      <c r="E42" s="799"/>
      <c r="F42" s="799"/>
      <c r="G42" s="799"/>
      <c r="H42" s="799"/>
      <c r="I42" s="799"/>
      <c r="J42" s="800"/>
      <c r="K42" s="434"/>
    </row>
    <row r="43" spans="2:12" s="435" customFormat="1" ht="14.4" thickBot="1" x14ac:dyDescent="0.3">
      <c r="B43" s="432"/>
      <c r="C43" s="801" t="s">
        <v>72</v>
      </c>
      <c r="D43" s="802"/>
      <c r="E43" s="802"/>
      <c r="F43" s="802"/>
      <c r="G43" s="803"/>
      <c r="H43" s="787">
        <f>I41+I34+I28+I15</f>
        <v>0</v>
      </c>
      <c r="I43" s="788"/>
      <c r="J43" s="789"/>
      <c r="K43" s="434"/>
    </row>
    <row r="44" spans="2:12" ht="28.2" thickBot="1" x14ac:dyDescent="0.5">
      <c r="B44" s="441"/>
      <c r="C44" s="442"/>
      <c r="D44" s="442"/>
      <c r="E44" s="443"/>
      <c r="F44" s="668"/>
      <c r="G44" s="444"/>
      <c r="H44" s="445"/>
      <c r="I44" s="445"/>
      <c r="J44" s="446"/>
      <c r="K44" s="447"/>
    </row>
  </sheetData>
  <mergeCells count="14">
    <mergeCell ref="C16:J16"/>
    <mergeCell ref="C3:F3"/>
    <mergeCell ref="G3:J3"/>
    <mergeCell ref="G4:J4"/>
    <mergeCell ref="C5:J5"/>
    <mergeCell ref="E15:H15"/>
    <mergeCell ref="C43:G43"/>
    <mergeCell ref="H43:J43"/>
    <mergeCell ref="E28:H28"/>
    <mergeCell ref="C29:J29"/>
    <mergeCell ref="E34:H34"/>
    <mergeCell ref="C35:J35"/>
    <mergeCell ref="E41:H41"/>
    <mergeCell ref="E42:J42"/>
  </mergeCells>
  <conditionalFormatting sqref="D42">
    <cfRule type="cellIs" dxfId="11" priority="1" stopIfTrue="1" operator="greaterThan">
      <formula>1</formula>
    </cfRule>
    <cfRule type="cellIs" dxfId="10" priority="2" stopIfTrue="1" operator="lessThan">
      <formula>1</formula>
    </cfRule>
  </conditionalFormatting>
  <conditionalFormatting sqref="I15">
    <cfRule type="expression" dxfId="9" priority="3" stopIfTrue="1">
      <formula>"if($H$14/$D$14)&lt;80"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C9A9-4C3C-4BEE-ABD5-850DFF432E55}">
  <sheetPr codeName="Sheet24"/>
  <dimension ref="B1:L32"/>
  <sheetViews>
    <sheetView zoomScale="80" zoomScaleNormal="80" workbookViewId="0">
      <selection activeCell="E27" sqref="E27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2.21875" style="385" customWidth="1"/>
    <col min="4" max="4" width="15" style="385" customWidth="1"/>
    <col min="5" max="5" width="49.5546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36.77734375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28.2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790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ht="42" thickBot="1" x14ac:dyDescent="0.3">
      <c r="B6" s="405"/>
      <c r="C6" s="654" t="s">
        <v>36</v>
      </c>
      <c r="D6" s="448" t="s">
        <v>37</v>
      </c>
      <c r="E6" s="655" t="s">
        <v>38</v>
      </c>
      <c r="F6" s="656" t="s">
        <v>535</v>
      </c>
      <c r="G6" s="655" t="s">
        <v>39</v>
      </c>
      <c r="H6" s="448" t="s">
        <v>40</v>
      </c>
      <c r="I6" s="448" t="s">
        <v>41</v>
      </c>
      <c r="J6" s="657" t="s">
        <v>42</v>
      </c>
      <c r="K6" s="410"/>
    </row>
    <row r="7" spans="2:12" s="417" customFormat="1" x14ac:dyDescent="0.25">
      <c r="B7" s="411"/>
      <c r="C7" s="451" t="s">
        <v>124</v>
      </c>
      <c r="D7" s="39">
        <v>0.2</v>
      </c>
      <c r="E7" s="329" t="s">
        <v>125</v>
      </c>
      <c r="F7" s="658" t="s">
        <v>537</v>
      </c>
      <c r="G7" s="461"/>
      <c r="H7" s="79">
        <v>0</v>
      </c>
      <c r="I7" s="60">
        <v>0</v>
      </c>
      <c r="J7" s="659"/>
      <c r="K7" s="416"/>
    </row>
    <row r="8" spans="2:12" s="417" customFormat="1" ht="13.8" thickBot="1" x14ac:dyDescent="0.3">
      <c r="B8" s="411"/>
      <c r="C8" s="453" t="s">
        <v>791</v>
      </c>
      <c r="D8" s="51">
        <v>0.05</v>
      </c>
      <c r="E8" s="720">
        <v>0.16300000000000001</v>
      </c>
      <c r="F8" s="660">
        <v>0.17</v>
      </c>
      <c r="G8" s="450"/>
      <c r="H8" s="79">
        <v>0</v>
      </c>
      <c r="I8" s="53">
        <v>0</v>
      </c>
      <c r="J8" s="450"/>
      <c r="K8" s="416"/>
    </row>
    <row r="9" spans="2:12" s="430" customFormat="1" ht="14.4" thickBot="1" x14ac:dyDescent="0.3">
      <c r="B9" s="425"/>
      <c r="C9" s="662" t="s">
        <v>49</v>
      </c>
      <c r="D9" s="30">
        <f>SUM(D7:D8)</f>
        <v>0.25</v>
      </c>
      <c r="E9" s="779"/>
      <c r="F9" s="779"/>
      <c r="G9" s="779"/>
      <c r="H9" s="779"/>
      <c r="I9" s="82">
        <f>SUM(I7:I8)</f>
        <v>0</v>
      </c>
      <c r="J9" s="657"/>
      <c r="K9" s="429"/>
    </row>
    <row r="10" spans="2:12" s="404" customFormat="1" ht="16.2" thickBot="1" x14ac:dyDescent="0.35">
      <c r="B10" s="403"/>
      <c r="C10" s="784" t="s">
        <v>50</v>
      </c>
      <c r="D10" s="785"/>
      <c r="E10" s="785"/>
      <c r="F10" s="785"/>
      <c r="G10" s="785"/>
      <c r="H10" s="785"/>
      <c r="I10" s="785"/>
      <c r="J10" s="786"/>
      <c r="K10" s="431"/>
    </row>
    <row r="11" spans="2:12" ht="42" thickBot="1" x14ac:dyDescent="0.3">
      <c r="B11" s="405"/>
      <c r="C11" s="654" t="s">
        <v>36</v>
      </c>
      <c r="D11" s="448" t="s">
        <v>37</v>
      </c>
      <c r="E11" s="657" t="s">
        <v>38</v>
      </c>
      <c r="F11" s="656" t="s">
        <v>535</v>
      </c>
      <c r="G11" s="655" t="s">
        <v>39</v>
      </c>
      <c r="H11" s="448" t="s">
        <v>40</v>
      </c>
      <c r="I11" s="448" t="s">
        <v>41</v>
      </c>
      <c r="J11" s="657" t="s">
        <v>42</v>
      </c>
      <c r="K11" s="410"/>
    </row>
    <row r="12" spans="2:12" s="417" customFormat="1" ht="132" x14ac:dyDescent="0.25">
      <c r="B12" s="421"/>
      <c r="C12" s="454" t="s">
        <v>792</v>
      </c>
      <c r="D12" s="49">
        <v>0.08</v>
      </c>
      <c r="E12" s="153" t="s">
        <v>570</v>
      </c>
      <c r="F12" s="663" t="s">
        <v>540</v>
      </c>
      <c r="G12" s="461"/>
      <c r="H12" s="51">
        <v>0</v>
      </c>
      <c r="I12" s="60">
        <v>0</v>
      </c>
      <c r="J12" s="459" t="s">
        <v>793</v>
      </c>
      <c r="K12" s="422"/>
    </row>
    <row r="13" spans="2:12" s="417" customFormat="1" ht="26.4" x14ac:dyDescent="0.25">
      <c r="B13" s="421"/>
      <c r="C13" s="455" t="s">
        <v>794</v>
      </c>
      <c r="D13" s="51">
        <v>0.08</v>
      </c>
      <c r="E13" s="329" t="s">
        <v>795</v>
      </c>
      <c r="F13" s="663" t="s">
        <v>540</v>
      </c>
      <c r="G13" s="462"/>
      <c r="H13" s="51">
        <v>0</v>
      </c>
      <c r="I13" s="51">
        <v>0</v>
      </c>
      <c r="J13" s="449" t="s">
        <v>796</v>
      </c>
      <c r="K13" s="422"/>
    </row>
    <row r="14" spans="2:12" s="417" customFormat="1" ht="52.8" x14ac:dyDescent="0.25">
      <c r="B14" s="421"/>
      <c r="C14" s="455" t="s">
        <v>797</v>
      </c>
      <c r="D14" s="51">
        <v>7.4999999999999997E-2</v>
      </c>
      <c r="E14" s="329" t="s">
        <v>798</v>
      </c>
      <c r="F14" s="663" t="s">
        <v>540</v>
      </c>
      <c r="G14" s="462"/>
      <c r="H14" s="51">
        <v>0</v>
      </c>
      <c r="I14" s="51">
        <v>0</v>
      </c>
      <c r="J14" s="449" t="s">
        <v>799</v>
      </c>
      <c r="K14" s="422"/>
    </row>
    <row r="15" spans="2:12" s="417" customFormat="1" ht="26.4" x14ac:dyDescent="0.25">
      <c r="B15" s="421"/>
      <c r="C15" s="455" t="s">
        <v>800</v>
      </c>
      <c r="D15" s="126">
        <v>7.4999999999999997E-2</v>
      </c>
      <c r="E15" s="329" t="s">
        <v>801</v>
      </c>
      <c r="F15" s="663" t="s">
        <v>540</v>
      </c>
      <c r="G15" s="337"/>
      <c r="H15" s="51">
        <v>0</v>
      </c>
      <c r="I15" s="51">
        <v>0</v>
      </c>
      <c r="J15" s="450" t="s">
        <v>802</v>
      </c>
      <c r="K15" s="422"/>
    </row>
    <row r="16" spans="2:12" s="417" customFormat="1" ht="27" thickBot="1" x14ac:dyDescent="0.3">
      <c r="B16" s="421"/>
      <c r="C16" s="455" t="s">
        <v>803</v>
      </c>
      <c r="D16" s="51">
        <v>0.1</v>
      </c>
      <c r="E16" s="463" t="s">
        <v>804</v>
      </c>
      <c r="F16" s="663" t="s">
        <v>540</v>
      </c>
      <c r="G16" s="450"/>
      <c r="H16" s="51">
        <v>0</v>
      </c>
      <c r="I16" s="51">
        <v>0</v>
      </c>
      <c r="J16" s="81" t="s">
        <v>805</v>
      </c>
      <c r="K16" s="422"/>
    </row>
    <row r="17" spans="2:12" s="435" customFormat="1" ht="14.4" thickBot="1" x14ac:dyDescent="0.3">
      <c r="B17" s="432"/>
      <c r="C17" s="662" t="s">
        <v>55</v>
      </c>
      <c r="D17" s="30">
        <f>SUM(D12:D16)</f>
        <v>0.41000000000000003</v>
      </c>
      <c r="E17" s="779"/>
      <c r="F17" s="779"/>
      <c r="G17" s="779"/>
      <c r="H17" s="779"/>
      <c r="I17" s="62">
        <f>SUM(I12:I16)</f>
        <v>0</v>
      </c>
      <c r="J17" s="657"/>
      <c r="K17" s="434"/>
    </row>
    <row r="18" spans="2:12" s="404" customFormat="1" ht="16.2" thickBot="1" x14ac:dyDescent="0.35">
      <c r="B18" s="403"/>
      <c r="C18" s="784" t="s">
        <v>56</v>
      </c>
      <c r="D18" s="785"/>
      <c r="E18" s="785"/>
      <c r="F18" s="785"/>
      <c r="G18" s="785"/>
      <c r="H18" s="785"/>
      <c r="I18" s="785"/>
      <c r="J18" s="786"/>
      <c r="K18" s="431"/>
    </row>
    <row r="19" spans="2:12" ht="42" thickBot="1" x14ac:dyDescent="0.3">
      <c r="B19" s="405"/>
      <c r="C19" s="654" t="s">
        <v>36</v>
      </c>
      <c r="D19" s="448" t="s">
        <v>37</v>
      </c>
      <c r="E19" s="657" t="s">
        <v>38</v>
      </c>
      <c r="F19" s="656" t="s">
        <v>535</v>
      </c>
      <c r="G19" s="655" t="s">
        <v>39</v>
      </c>
      <c r="H19" s="448" t="s">
        <v>40</v>
      </c>
      <c r="I19" s="448" t="s">
        <v>41</v>
      </c>
      <c r="J19" s="657" t="s">
        <v>42</v>
      </c>
      <c r="K19" s="410"/>
    </row>
    <row r="20" spans="2:12" s="417" customFormat="1" x14ac:dyDescent="0.25">
      <c r="B20" s="421"/>
      <c r="C20" s="458" t="s">
        <v>806</v>
      </c>
      <c r="D20" s="49">
        <v>0.08</v>
      </c>
      <c r="E20" s="465" t="s">
        <v>807</v>
      </c>
      <c r="F20" s="664" t="s">
        <v>540</v>
      </c>
      <c r="G20" s="73"/>
      <c r="H20" s="51">
        <v>0</v>
      </c>
      <c r="I20" s="60">
        <v>0</v>
      </c>
      <c r="J20" s="459"/>
      <c r="K20" s="422"/>
    </row>
    <row r="21" spans="2:12" s="417" customFormat="1" x14ac:dyDescent="0.25">
      <c r="B21" s="421"/>
      <c r="C21" s="455" t="s">
        <v>151</v>
      </c>
      <c r="D21" s="51">
        <v>0.08</v>
      </c>
      <c r="E21" s="697">
        <v>0.89</v>
      </c>
      <c r="F21" s="663" t="s">
        <v>540</v>
      </c>
      <c r="G21" s="78"/>
      <c r="H21" s="51">
        <v>0</v>
      </c>
      <c r="I21" s="72">
        <v>0</v>
      </c>
      <c r="J21" s="450" t="s">
        <v>808</v>
      </c>
      <c r="K21" s="422"/>
    </row>
    <row r="22" spans="2:12" s="417" customFormat="1" ht="13.8" thickBot="1" x14ac:dyDescent="0.3">
      <c r="B22" s="421"/>
      <c r="C22" s="455" t="s">
        <v>692</v>
      </c>
      <c r="D22" s="51">
        <v>0.08</v>
      </c>
      <c r="E22" s="467">
        <v>0.72</v>
      </c>
      <c r="F22" s="663" t="s">
        <v>540</v>
      </c>
      <c r="G22" s="78"/>
      <c r="H22" s="51">
        <v>0</v>
      </c>
      <c r="I22" s="51">
        <v>0</v>
      </c>
      <c r="J22" s="81" t="s">
        <v>154</v>
      </c>
      <c r="K22" s="422"/>
    </row>
    <row r="23" spans="2:12" s="435" customFormat="1" ht="14.4" thickBot="1" x14ac:dyDescent="0.3">
      <c r="B23" s="432"/>
      <c r="C23" s="662" t="s">
        <v>63</v>
      </c>
      <c r="D23" s="30">
        <f>SUM(D20:D22)</f>
        <v>0.24</v>
      </c>
      <c r="E23" s="779"/>
      <c r="F23" s="779"/>
      <c r="G23" s="779"/>
      <c r="H23" s="779"/>
      <c r="I23" s="29">
        <f>SUM(I20:I22)</f>
        <v>0</v>
      </c>
      <c r="J23" s="657"/>
      <c r="K23" s="434"/>
    </row>
    <row r="24" spans="2:12" s="404" customFormat="1" ht="16.2" thickBot="1" x14ac:dyDescent="0.35">
      <c r="B24" s="403"/>
      <c r="C24" s="781" t="s">
        <v>64</v>
      </c>
      <c r="D24" s="782"/>
      <c r="E24" s="782"/>
      <c r="F24" s="782"/>
      <c r="G24" s="782"/>
      <c r="H24" s="782"/>
      <c r="I24" s="782"/>
      <c r="J24" s="786"/>
      <c r="K24" s="431"/>
    </row>
    <row r="25" spans="2:12" ht="28.2" thickBot="1" x14ac:dyDescent="0.3">
      <c r="B25" s="405"/>
      <c r="C25" s="666" t="s">
        <v>36</v>
      </c>
      <c r="D25" s="448" t="s">
        <v>37</v>
      </c>
      <c r="E25" s="657" t="s">
        <v>38</v>
      </c>
      <c r="F25" s="656" t="s">
        <v>535</v>
      </c>
      <c r="G25" s="655" t="s">
        <v>39</v>
      </c>
      <c r="H25" s="448" t="s">
        <v>40</v>
      </c>
      <c r="I25" s="448" t="s">
        <v>41</v>
      </c>
      <c r="J25" s="667" t="s">
        <v>42</v>
      </c>
      <c r="K25" s="410"/>
    </row>
    <row r="26" spans="2:12" s="417" customFormat="1" ht="26.4" x14ac:dyDescent="0.25">
      <c r="B26" s="411"/>
      <c r="C26" s="469" t="s">
        <v>94</v>
      </c>
      <c r="D26" s="51">
        <v>0.04</v>
      </c>
      <c r="E26" s="160" t="s">
        <v>809</v>
      </c>
      <c r="F26" s="663" t="s">
        <v>540</v>
      </c>
      <c r="G26" s="147"/>
      <c r="H26" s="51">
        <v>0</v>
      </c>
      <c r="I26" s="60">
        <v>0</v>
      </c>
      <c r="J26" s="470"/>
      <c r="K26" s="416"/>
      <c r="L26" s="439"/>
    </row>
    <row r="27" spans="2:12" s="417" customFormat="1" ht="39.6" x14ac:dyDescent="0.25">
      <c r="B27" s="411"/>
      <c r="C27" s="469" t="s">
        <v>581</v>
      </c>
      <c r="D27" s="51">
        <v>0.03</v>
      </c>
      <c r="E27" s="312" t="s">
        <v>860</v>
      </c>
      <c r="F27" s="663" t="s">
        <v>540</v>
      </c>
      <c r="G27" s="78"/>
      <c r="H27" s="51">
        <v>0</v>
      </c>
      <c r="I27" s="51">
        <v>0</v>
      </c>
      <c r="J27" s="470"/>
      <c r="K27" s="416"/>
      <c r="L27" s="439"/>
    </row>
    <row r="28" spans="2:12" s="417" customFormat="1" ht="13.8" thickBot="1" x14ac:dyDescent="0.3">
      <c r="B28" s="411"/>
      <c r="C28" s="469" t="s">
        <v>582</v>
      </c>
      <c r="D28" s="51">
        <v>0.03</v>
      </c>
      <c r="E28" s="697" t="s">
        <v>810</v>
      </c>
      <c r="F28" s="663" t="s">
        <v>540</v>
      </c>
      <c r="G28" s="251"/>
      <c r="H28" s="51">
        <v>0</v>
      </c>
      <c r="I28" s="51">
        <v>0</v>
      </c>
      <c r="J28" s="470"/>
      <c r="K28" s="416"/>
      <c r="L28" s="439"/>
    </row>
    <row r="29" spans="2:12" s="435" customFormat="1" ht="14.4" thickBot="1" x14ac:dyDescent="0.3">
      <c r="B29" s="432"/>
      <c r="C29" s="426" t="s">
        <v>70</v>
      </c>
      <c r="D29" s="30">
        <f>SUM(D26:D28)</f>
        <v>0.1</v>
      </c>
      <c r="E29" s="778"/>
      <c r="F29" s="779"/>
      <c r="G29" s="779"/>
      <c r="H29" s="780"/>
      <c r="I29" s="62">
        <f>SUM(I26:I28)</f>
        <v>0</v>
      </c>
      <c r="J29" s="655"/>
      <c r="K29" s="434"/>
    </row>
    <row r="30" spans="2:12" s="435" customFormat="1" ht="14.4" thickBot="1" x14ac:dyDescent="0.3">
      <c r="B30" s="432"/>
      <c r="C30" s="440" t="s">
        <v>71</v>
      </c>
      <c r="D30" s="37">
        <f>D29+D23+D17+D9</f>
        <v>1</v>
      </c>
      <c r="E30" s="799"/>
      <c r="F30" s="799"/>
      <c r="G30" s="799"/>
      <c r="H30" s="799"/>
      <c r="I30" s="799"/>
      <c r="J30" s="800"/>
      <c r="K30" s="434"/>
    </row>
    <row r="31" spans="2:12" s="435" customFormat="1" ht="14.4" thickBot="1" x14ac:dyDescent="0.3">
      <c r="B31" s="432"/>
      <c r="C31" s="801" t="s">
        <v>72</v>
      </c>
      <c r="D31" s="802"/>
      <c r="E31" s="802"/>
      <c r="F31" s="802"/>
      <c r="G31" s="803"/>
      <c r="H31" s="787">
        <f>I29+I23+I17+I9</f>
        <v>0</v>
      </c>
      <c r="I31" s="788"/>
      <c r="J31" s="789"/>
      <c r="K31" s="434"/>
    </row>
    <row r="32" spans="2:12" ht="28.2" thickBot="1" x14ac:dyDescent="0.5">
      <c r="B32" s="441"/>
      <c r="C32" s="442"/>
      <c r="D32" s="442"/>
      <c r="E32" s="443"/>
      <c r="F32" s="668"/>
      <c r="G32" s="444"/>
      <c r="H32" s="445"/>
      <c r="I32" s="445"/>
      <c r="J32" s="446"/>
      <c r="K32" s="447"/>
    </row>
  </sheetData>
  <mergeCells count="14">
    <mergeCell ref="C31:G31"/>
    <mergeCell ref="H31:J31"/>
    <mergeCell ref="E17:H17"/>
    <mergeCell ref="C18:J18"/>
    <mergeCell ref="E23:H23"/>
    <mergeCell ref="C24:J24"/>
    <mergeCell ref="E29:H29"/>
    <mergeCell ref="E30:J30"/>
    <mergeCell ref="C10:J10"/>
    <mergeCell ref="C3:F3"/>
    <mergeCell ref="G3:J3"/>
    <mergeCell ref="G4:J4"/>
    <mergeCell ref="C5:J5"/>
    <mergeCell ref="E9:H9"/>
  </mergeCells>
  <conditionalFormatting sqref="D30">
    <cfRule type="cellIs" dxfId="8" priority="1" stopIfTrue="1" operator="greaterThan">
      <formula>1</formula>
    </cfRule>
    <cfRule type="cellIs" dxfId="7" priority="2" stopIfTrue="1" operator="lessThan">
      <formula>1</formula>
    </cfRule>
  </conditionalFormatting>
  <conditionalFormatting sqref="I9">
    <cfRule type="expression" dxfId="6" priority="3" stopIfTrue="1">
      <formula>"if($H$14/$D$14)&lt;80"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83C6-7981-438F-9EEE-9FE399B108FD}">
  <sheetPr codeName="Sheet25"/>
  <dimension ref="B1:L42"/>
  <sheetViews>
    <sheetView topLeftCell="A22" zoomScale="60" zoomScaleNormal="60" workbookViewId="0">
      <selection activeCell="L31" sqref="L31"/>
    </sheetView>
  </sheetViews>
  <sheetFormatPr defaultColWidth="8.77734375" defaultRowHeight="13.2" x14ac:dyDescent="0.25"/>
  <cols>
    <col min="1" max="1" width="1.5546875" style="385" customWidth="1"/>
    <col min="2" max="2" width="1.77734375" style="385" customWidth="1"/>
    <col min="3" max="3" width="82.21875" style="385" customWidth="1"/>
    <col min="4" max="4" width="15" style="385" customWidth="1"/>
    <col min="5" max="5" width="49.5546875" style="386" customWidth="1"/>
    <col min="6" max="6" width="15.77734375" style="651" customWidth="1"/>
    <col min="7" max="7" width="16" style="387" customWidth="1"/>
    <col min="8" max="8" width="19.21875" style="388" customWidth="1"/>
    <col min="9" max="9" width="17.77734375" style="388" customWidth="1"/>
    <col min="10" max="10" width="36.77734375" style="386" customWidth="1"/>
    <col min="11" max="11" width="2.5546875" style="385" customWidth="1"/>
    <col min="12" max="12" width="11.21875" style="385" bestFit="1" customWidth="1"/>
    <col min="13" max="16384" width="8.77734375" style="385"/>
  </cols>
  <sheetData>
    <row r="1" spans="2:12" ht="13.8" thickBot="1" x14ac:dyDescent="0.3"/>
    <row r="2" spans="2:12" s="396" customFormat="1" ht="28.2" thickBot="1" x14ac:dyDescent="0.5">
      <c r="B2" s="389"/>
      <c r="C2" s="390"/>
      <c r="D2" s="390"/>
      <c r="E2" s="391"/>
      <c r="F2" s="652"/>
      <c r="G2" s="392" t="s">
        <v>31</v>
      </c>
      <c r="H2" s="393"/>
      <c r="I2" s="393"/>
      <c r="J2" s="394"/>
      <c r="K2" s="395"/>
    </row>
    <row r="3" spans="2:12" s="399" customFormat="1" ht="24.6" x14ac:dyDescent="0.4">
      <c r="B3" s="397"/>
      <c r="C3" s="807" t="s">
        <v>811</v>
      </c>
      <c r="D3" s="808"/>
      <c r="E3" s="808"/>
      <c r="F3" s="870"/>
      <c r="G3" s="809" t="s">
        <v>33</v>
      </c>
      <c r="H3" s="810"/>
      <c r="I3" s="810"/>
      <c r="J3" s="811"/>
      <c r="K3" s="398"/>
    </row>
    <row r="4" spans="2:12" s="399" customFormat="1" ht="25.2" thickBot="1" x14ac:dyDescent="0.45">
      <c r="B4" s="397"/>
      <c r="C4" s="400">
        <v>2024</v>
      </c>
      <c r="D4" s="401"/>
      <c r="E4" s="401"/>
      <c r="F4" s="653"/>
      <c r="G4" s="812" t="s">
        <v>34</v>
      </c>
      <c r="H4" s="813"/>
      <c r="I4" s="813"/>
      <c r="J4" s="814"/>
      <c r="K4" s="398"/>
      <c r="L4" s="402"/>
    </row>
    <row r="5" spans="2:12" s="404" customFormat="1" ht="23.4" thickBot="1" x14ac:dyDescent="0.45">
      <c r="B5" s="403"/>
      <c r="C5" s="781" t="s">
        <v>35</v>
      </c>
      <c r="D5" s="782"/>
      <c r="E5" s="782"/>
      <c r="F5" s="782"/>
      <c r="G5" s="782"/>
      <c r="H5" s="782"/>
      <c r="I5" s="782"/>
      <c r="J5" s="783"/>
      <c r="K5" s="398"/>
    </row>
    <row r="6" spans="2:12" ht="42" thickBot="1" x14ac:dyDescent="0.3">
      <c r="B6" s="405"/>
      <c r="C6" s="406" t="s">
        <v>36</v>
      </c>
      <c r="D6" s="407" t="s">
        <v>37</v>
      </c>
      <c r="E6" s="408" t="s">
        <v>38</v>
      </c>
      <c r="F6" s="721" t="s">
        <v>535</v>
      </c>
      <c r="G6" s="408" t="s">
        <v>39</v>
      </c>
      <c r="H6" s="407" t="s">
        <v>40</v>
      </c>
      <c r="I6" s="448" t="s">
        <v>41</v>
      </c>
      <c r="J6" s="409" t="s">
        <v>42</v>
      </c>
      <c r="K6" s="410"/>
    </row>
    <row r="7" spans="2:12" s="417" customFormat="1" x14ac:dyDescent="0.25">
      <c r="B7" s="411"/>
      <c r="C7" s="451" t="s">
        <v>124</v>
      </c>
      <c r="D7" s="39">
        <v>0.2</v>
      </c>
      <c r="E7" s="329" t="s">
        <v>125</v>
      </c>
      <c r="F7" s="658" t="s">
        <v>537</v>
      </c>
      <c r="G7" s="461"/>
      <c r="H7" s="79">
        <v>0</v>
      </c>
      <c r="I7" s="60">
        <v>0</v>
      </c>
      <c r="J7" s="659"/>
      <c r="K7" s="416"/>
    </row>
    <row r="8" spans="2:12" s="417" customFormat="1" x14ac:dyDescent="0.25">
      <c r="B8" s="411"/>
      <c r="C8" s="452" t="s">
        <v>126</v>
      </c>
      <c r="D8" s="51">
        <v>0.05</v>
      </c>
      <c r="E8" s="456">
        <v>0.16300000000000001</v>
      </c>
      <c r="F8" s="660">
        <v>0.17</v>
      </c>
      <c r="G8" s="462"/>
      <c r="H8" s="79">
        <v>0</v>
      </c>
      <c r="I8" s="51">
        <v>0</v>
      </c>
      <c r="J8" s="450"/>
      <c r="K8" s="416"/>
    </row>
    <row r="9" spans="2:12" s="417" customFormat="1" ht="26.4" x14ac:dyDescent="0.25">
      <c r="B9" s="421"/>
      <c r="C9" s="452" t="s">
        <v>127</v>
      </c>
      <c r="D9" s="51">
        <v>0.1</v>
      </c>
      <c r="E9" s="312" t="s">
        <v>128</v>
      </c>
      <c r="F9" s="663" t="s">
        <v>540</v>
      </c>
      <c r="G9" s="450"/>
      <c r="H9" s="79">
        <v>0</v>
      </c>
      <c r="I9" s="51">
        <v>0</v>
      </c>
      <c r="J9" s="450"/>
      <c r="K9" s="422"/>
    </row>
    <row r="10" spans="2:12" s="417" customFormat="1" ht="26.4" x14ac:dyDescent="0.25">
      <c r="B10" s="411"/>
      <c r="C10" s="453" t="s">
        <v>129</v>
      </c>
      <c r="D10" s="51">
        <v>7.4999999999999997E-2</v>
      </c>
      <c r="E10" s="312" t="s">
        <v>84</v>
      </c>
      <c r="F10" s="663" t="s">
        <v>540</v>
      </c>
      <c r="G10" s="450"/>
      <c r="H10" s="79">
        <v>0</v>
      </c>
      <c r="I10" s="51">
        <v>0</v>
      </c>
      <c r="J10" s="450"/>
      <c r="K10" s="416"/>
    </row>
    <row r="11" spans="2:12" s="417" customFormat="1" ht="13.8" thickBot="1" x14ac:dyDescent="0.3">
      <c r="B11" s="421"/>
      <c r="C11" s="452" t="s">
        <v>130</v>
      </c>
      <c r="D11" s="51">
        <v>7.4999999999999997E-2</v>
      </c>
      <c r="E11" s="457">
        <v>0.111</v>
      </c>
      <c r="F11" s="722">
        <v>0.107</v>
      </c>
      <c r="G11" s="661"/>
      <c r="H11" s="79">
        <v>0</v>
      </c>
      <c r="I11" s="53">
        <v>0</v>
      </c>
      <c r="J11" s="81"/>
      <c r="K11" s="422"/>
    </row>
    <row r="12" spans="2:12" s="430" customFormat="1" ht="14.4" thickBot="1" x14ac:dyDescent="0.3">
      <c r="B12" s="425"/>
      <c r="C12" s="426" t="s">
        <v>49</v>
      </c>
      <c r="D12" s="427">
        <f>SUM(D7:D11)</f>
        <v>0.5</v>
      </c>
      <c r="E12" s="815"/>
      <c r="F12" s="815"/>
      <c r="G12" s="815"/>
      <c r="H12" s="815"/>
      <c r="I12" s="428">
        <f>SUM(I7:I11)</f>
        <v>0</v>
      </c>
      <c r="J12" s="409"/>
      <c r="K12" s="429"/>
    </row>
    <row r="13" spans="2:12" s="404" customFormat="1" ht="16.2" thickBot="1" x14ac:dyDescent="0.35">
      <c r="B13" s="403"/>
      <c r="C13" s="804" t="s">
        <v>50</v>
      </c>
      <c r="D13" s="805"/>
      <c r="E13" s="805"/>
      <c r="F13" s="805"/>
      <c r="G13" s="805"/>
      <c r="H13" s="805"/>
      <c r="I13" s="805"/>
      <c r="J13" s="806"/>
      <c r="K13" s="431"/>
    </row>
    <row r="14" spans="2:12" ht="42" thickBot="1" x14ac:dyDescent="0.3">
      <c r="B14" s="405"/>
      <c r="C14" s="406" t="s">
        <v>36</v>
      </c>
      <c r="D14" s="407" t="s">
        <v>37</v>
      </c>
      <c r="E14" s="409" t="s">
        <v>38</v>
      </c>
      <c r="F14" s="721" t="s">
        <v>535</v>
      </c>
      <c r="G14" s="408" t="s">
        <v>39</v>
      </c>
      <c r="H14" s="407" t="s">
        <v>40</v>
      </c>
      <c r="I14" s="448" t="s">
        <v>41</v>
      </c>
      <c r="J14" s="409" t="s">
        <v>42</v>
      </c>
      <c r="K14" s="410"/>
    </row>
    <row r="15" spans="2:12" s="417" customFormat="1" x14ac:dyDescent="0.25">
      <c r="B15" s="421"/>
      <c r="C15" s="454" t="s">
        <v>131</v>
      </c>
      <c r="D15" s="49">
        <v>0.02</v>
      </c>
      <c r="E15" s="329" t="s">
        <v>58</v>
      </c>
      <c r="F15" s="663" t="s">
        <v>540</v>
      </c>
      <c r="G15" s="461"/>
      <c r="H15" s="51">
        <v>0</v>
      </c>
      <c r="I15" s="60">
        <v>0</v>
      </c>
      <c r="J15" s="459"/>
      <c r="K15" s="422"/>
    </row>
    <row r="16" spans="2:12" s="417" customFormat="1" x14ac:dyDescent="0.25">
      <c r="B16" s="421"/>
      <c r="C16" s="455" t="s">
        <v>812</v>
      </c>
      <c r="D16" s="51">
        <v>0.02</v>
      </c>
      <c r="E16" s="329" t="s">
        <v>133</v>
      </c>
      <c r="F16" s="663" t="s">
        <v>540</v>
      </c>
      <c r="G16" s="462"/>
      <c r="H16" s="51">
        <v>0</v>
      </c>
      <c r="I16" s="51">
        <v>0</v>
      </c>
      <c r="J16" s="449"/>
      <c r="K16" s="422"/>
    </row>
    <row r="17" spans="2:11" s="417" customFormat="1" x14ac:dyDescent="0.25">
      <c r="B17" s="421"/>
      <c r="C17" s="455" t="s">
        <v>554</v>
      </c>
      <c r="D17" s="51">
        <v>0.02</v>
      </c>
      <c r="E17" s="329" t="s">
        <v>135</v>
      </c>
      <c r="F17" s="663" t="s">
        <v>540</v>
      </c>
      <c r="G17" s="462"/>
      <c r="H17" s="51">
        <v>0</v>
      </c>
      <c r="I17" s="51">
        <v>0</v>
      </c>
      <c r="J17" s="449"/>
      <c r="K17" s="422"/>
    </row>
    <row r="18" spans="2:11" s="417" customFormat="1" x14ac:dyDescent="0.25">
      <c r="B18" s="421"/>
      <c r="C18" s="455" t="s">
        <v>143</v>
      </c>
      <c r="D18" s="126">
        <v>0.01</v>
      </c>
      <c r="E18" s="464">
        <v>1220</v>
      </c>
      <c r="F18" s="723">
        <v>1400</v>
      </c>
      <c r="G18" s="337"/>
      <c r="H18" s="51">
        <v>0</v>
      </c>
      <c r="I18" s="51">
        <v>0</v>
      </c>
      <c r="J18" s="450" t="s">
        <v>144</v>
      </c>
      <c r="K18" s="422"/>
    </row>
    <row r="19" spans="2:11" s="417" customFormat="1" ht="52.8" x14ac:dyDescent="0.25">
      <c r="B19" s="421"/>
      <c r="C19" s="455" t="s">
        <v>813</v>
      </c>
      <c r="D19" s="51">
        <v>0.03</v>
      </c>
      <c r="E19" s="463" t="s">
        <v>567</v>
      </c>
      <c r="F19" s="660" t="s">
        <v>540</v>
      </c>
      <c r="G19" s="450"/>
      <c r="H19" s="51">
        <v>0</v>
      </c>
      <c r="I19" s="51">
        <v>0</v>
      </c>
      <c r="J19" s="81" t="s">
        <v>814</v>
      </c>
      <c r="K19" s="422"/>
    </row>
    <row r="20" spans="2:11" s="417" customFormat="1" ht="158.4" x14ac:dyDescent="0.25">
      <c r="B20" s="421"/>
      <c r="C20" s="455" t="s">
        <v>815</v>
      </c>
      <c r="D20" s="126">
        <v>0.03</v>
      </c>
      <c r="E20" s="329" t="s">
        <v>816</v>
      </c>
      <c r="F20" s="663">
        <v>0.15</v>
      </c>
      <c r="G20" s="337"/>
      <c r="H20" s="51">
        <v>0</v>
      </c>
      <c r="I20" s="51">
        <v>0</v>
      </c>
      <c r="J20" s="449" t="s">
        <v>817</v>
      </c>
      <c r="K20" s="422"/>
    </row>
    <row r="21" spans="2:11" s="417" customFormat="1" ht="145.19999999999999" x14ac:dyDescent="0.25">
      <c r="B21" s="421"/>
      <c r="C21" s="455" t="s">
        <v>818</v>
      </c>
      <c r="D21" s="51">
        <v>0.02</v>
      </c>
      <c r="E21" s="463" t="s">
        <v>819</v>
      </c>
      <c r="F21" s="663" t="s">
        <v>820</v>
      </c>
      <c r="G21" s="450"/>
      <c r="H21" s="51">
        <v>0</v>
      </c>
      <c r="I21" s="51">
        <v>0</v>
      </c>
      <c r="J21" s="81" t="s">
        <v>821</v>
      </c>
      <c r="K21" s="422"/>
    </row>
    <row r="22" spans="2:11" s="417" customFormat="1" ht="26.4" x14ac:dyDescent="0.25">
      <c r="B22" s="421"/>
      <c r="C22" s="455" t="s">
        <v>822</v>
      </c>
      <c r="D22" s="126">
        <v>0.03</v>
      </c>
      <c r="E22" s="329" t="s">
        <v>823</v>
      </c>
      <c r="F22" s="663" t="s">
        <v>824</v>
      </c>
      <c r="G22" s="337"/>
      <c r="H22" s="51">
        <v>0</v>
      </c>
      <c r="I22" s="51">
        <v>0</v>
      </c>
      <c r="J22" s="449" t="s">
        <v>825</v>
      </c>
      <c r="K22" s="422"/>
    </row>
    <row r="23" spans="2:11" s="417" customFormat="1" ht="92.4" x14ac:dyDescent="0.25">
      <c r="B23" s="421"/>
      <c r="C23" s="455" t="s">
        <v>826</v>
      </c>
      <c r="D23" s="126">
        <v>0.03</v>
      </c>
      <c r="E23" s="464" t="s">
        <v>827</v>
      </c>
      <c r="F23" s="723" t="s">
        <v>828</v>
      </c>
      <c r="G23" s="337"/>
      <c r="H23" s="51">
        <v>0</v>
      </c>
      <c r="I23" s="51">
        <v>0</v>
      </c>
      <c r="J23" s="450" t="s">
        <v>829</v>
      </c>
      <c r="K23" s="422"/>
    </row>
    <row r="24" spans="2:11" s="417" customFormat="1" ht="66.599999999999994" thickBot="1" x14ac:dyDescent="0.3">
      <c r="B24" s="421"/>
      <c r="C24" s="455" t="s">
        <v>830</v>
      </c>
      <c r="D24" s="51">
        <v>0.04</v>
      </c>
      <c r="E24" s="312" t="s">
        <v>831</v>
      </c>
      <c r="F24" s="663" t="s">
        <v>832</v>
      </c>
      <c r="G24" s="251"/>
      <c r="H24" s="51">
        <v>0</v>
      </c>
      <c r="I24" s="72">
        <v>0</v>
      </c>
      <c r="J24" s="450" t="s">
        <v>833</v>
      </c>
      <c r="K24" s="422"/>
    </row>
    <row r="25" spans="2:11" s="435" customFormat="1" ht="14.4" thickBot="1" x14ac:dyDescent="0.3">
      <c r="B25" s="432"/>
      <c r="C25" s="426" t="s">
        <v>55</v>
      </c>
      <c r="D25" s="427">
        <f>SUM(D15:D24)</f>
        <v>0.25</v>
      </c>
      <c r="E25" s="815"/>
      <c r="F25" s="815"/>
      <c r="G25" s="815"/>
      <c r="H25" s="815"/>
      <c r="I25" s="433">
        <f>SUM(I15:I24)</f>
        <v>0</v>
      </c>
      <c r="J25" s="409"/>
      <c r="K25" s="434"/>
    </row>
    <row r="26" spans="2:11" s="404" customFormat="1" ht="16.2" thickBot="1" x14ac:dyDescent="0.35">
      <c r="B26" s="403"/>
      <c r="C26" s="804" t="s">
        <v>56</v>
      </c>
      <c r="D26" s="805"/>
      <c r="E26" s="805"/>
      <c r="F26" s="805"/>
      <c r="G26" s="805"/>
      <c r="H26" s="805"/>
      <c r="I26" s="805"/>
      <c r="J26" s="806"/>
      <c r="K26" s="431"/>
    </row>
    <row r="27" spans="2:11" ht="42" thickBot="1" x14ac:dyDescent="0.3">
      <c r="B27" s="405"/>
      <c r="C27" s="406" t="s">
        <v>36</v>
      </c>
      <c r="D27" s="407" t="s">
        <v>37</v>
      </c>
      <c r="E27" s="409" t="s">
        <v>38</v>
      </c>
      <c r="F27" s="721" t="s">
        <v>535</v>
      </c>
      <c r="G27" s="408" t="s">
        <v>39</v>
      </c>
      <c r="H27" s="407" t="s">
        <v>40</v>
      </c>
      <c r="I27" s="448" t="s">
        <v>41</v>
      </c>
      <c r="J27" s="409" t="s">
        <v>42</v>
      </c>
      <c r="K27" s="410"/>
    </row>
    <row r="28" spans="2:11" s="417" customFormat="1" ht="26.4" x14ac:dyDescent="0.25">
      <c r="B28" s="421"/>
      <c r="C28" s="458" t="s">
        <v>147</v>
      </c>
      <c r="D28" s="49">
        <v>0.05</v>
      </c>
      <c r="E28" s="465">
        <v>159373</v>
      </c>
      <c r="F28" s="664">
        <v>162946</v>
      </c>
      <c r="G28" s="73"/>
      <c r="H28" s="51">
        <v>0</v>
      </c>
      <c r="I28" s="60">
        <v>0</v>
      </c>
      <c r="J28" s="459"/>
      <c r="K28" s="422"/>
    </row>
    <row r="29" spans="2:11" s="417" customFormat="1" x14ac:dyDescent="0.25">
      <c r="B29" s="421"/>
      <c r="C29" s="455" t="s">
        <v>148</v>
      </c>
      <c r="D29" s="51">
        <v>0.02</v>
      </c>
      <c r="E29" s="465">
        <v>18438</v>
      </c>
      <c r="F29" s="664">
        <v>18684</v>
      </c>
      <c r="G29" s="78"/>
      <c r="H29" s="51">
        <v>0</v>
      </c>
      <c r="I29" s="51">
        <v>0</v>
      </c>
      <c r="J29" s="449"/>
      <c r="K29" s="422"/>
    </row>
    <row r="30" spans="2:11" s="417" customFormat="1" x14ac:dyDescent="0.25">
      <c r="B30" s="421"/>
      <c r="C30" s="455" t="s">
        <v>149</v>
      </c>
      <c r="D30" s="51">
        <v>0.02</v>
      </c>
      <c r="E30" s="466">
        <v>0.54600000000000004</v>
      </c>
      <c r="F30" s="663" t="s">
        <v>540</v>
      </c>
      <c r="G30" s="78"/>
      <c r="H30" s="51">
        <v>0</v>
      </c>
      <c r="I30" s="72">
        <v>0</v>
      </c>
      <c r="J30" s="450" t="s">
        <v>150</v>
      </c>
      <c r="K30" s="422"/>
    </row>
    <row r="31" spans="2:11" s="417" customFormat="1" ht="26.4" x14ac:dyDescent="0.25">
      <c r="B31" s="421"/>
      <c r="C31" s="455" t="s">
        <v>151</v>
      </c>
      <c r="D31" s="51">
        <v>0.03</v>
      </c>
      <c r="E31" s="467">
        <v>0.88</v>
      </c>
      <c r="F31" s="663" t="s">
        <v>540</v>
      </c>
      <c r="G31" s="78"/>
      <c r="H31" s="51">
        <v>0</v>
      </c>
      <c r="I31" s="51">
        <v>0</v>
      </c>
      <c r="J31" s="81" t="s">
        <v>152</v>
      </c>
      <c r="K31" s="422"/>
    </row>
    <row r="32" spans="2:11" s="417" customFormat="1" ht="13.8" thickBot="1" x14ac:dyDescent="0.3">
      <c r="B32" s="421"/>
      <c r="C32" s="455" t="s">
        <v>153</v>
      </c>
      <c r="D32" s="51">
        <v>0.03</v>
      </c>
      <c r="E32" s="468">
        <v>0.72</v>
      </c>
      <c r="F32" s="663" t="s">
        <v>540</v>
      </c>
      <c r="G32" s="251"/>
      <c r="H32" s="51">
        <v>0</v>
      </c>
      <c r="I32" s="51">
        <v>0</v>
      </c>
      <c r="J32" s="81" t="s">
        <v>154</v>
      </c>
      <c r="K32" s="422"/>
    </row>
    <row r="33" spans="2:12" s="435" customFormat="1" ht="14.4" thickBot="1" x14ac:dyDescent="0.3">
      <c r="B33" s="432"/>
      <c r="C33" s="426" t="s">
        <v>63</v>
      </c>
      <c r="D33" s="427">
        <f>SUM(D28:D32)</f>
        <v>0.15000000000000002</v>
      </c>
      <c r="E33" s="815"/>
      <c r="F33" s="815"/>
      <c r="G33" s="815"/>
      <c r="H33" s="815"/>
      <c r="I33" s="436">
        <f>SUM(I28:I32)</f>
        <v>0</v>
      </c>
      <c r="J33" s="409"/>
      <c r="K33" s="434"/>
    </row>
    <row r="34" spans="2:12" s="404" customFormat="1" ht="16.2" thickBot="1" x14ac:dyDescent="0.35">
      <c r="B34" s="403"/>
      <c r="C34" s="816" t="s">
        <v>64</v>
      </c>
      <c r="D34" s="817"/>
      <c r="E34" s="817"/>
      <c r="F34" s="817"/>
      <c r="G34" s="817"/>
      <c r="H34" s="817"/>
      <c r="I34" s="817"/>
      <c r="J34" s="806"/>
      <c r="K34" s="431"/>
    </row>
    <row r="35" spans="2:12" ht="28.2" thickBot="1" x14ac:dyDescent="0.3">
      <c r="B35" s="405"/>
      <c r="C35" s="437" t="s">
        <v>36</v>
      </c>
      <c r="D35" s="407" t="s">
        <v>37</v>
      </c>
      <c r="E35" s="409" t="s">
        <v>38</v>
      </c>
      <c r="F35" s="721" t="s">
        <v>535</v>
      </c>
      <c r="G35" s="408" t="s">
        <v>39</v>
      </c>
      <c r="H35" s="407" t="s">
        <v>40</v>
      </c>
      <c r="I35" s="448" t="s">
        <v>41</v>
      </c>
      <c r="J35" s="438" t="s">
        <v>42</v>
      </c>
      <c r="K35" s="410"/>
    </row>
    <row r="36" spans="2:12" s="417" customFormat="1" ht="52.8" x14ac:dyDescent="0.25">
      <c r="B36" s="411"/>
      <c r="C36" s="469" t="s">
        <v>155</v>
      </c>
      <c r="D36" s="51">
        <v>0.04</v>
      </c>
      <c r="E36" s="160" t="s">
        <v>156</v>
      </c>
      <c r="F36" s="663" t="s">
        <v>540</v>
      </c>
      <c r="G36" s="147"/>
      <c r="H36" s="51">
        <v>0</v>
      </c>
      <c r="I36" s="60">
        <v>0</v>
      </c>
      <c r="J36" s="470"/>
      <c r="K36" s="416"/>
      <c r="L36" s="439"/>
    </row>
    <row r="37" spans="2:12" s="417" customFormat="1" ht="39.6" x14ac:dyDescent="0.25">
      <c r="B37" s="411"/>
      <c r="C37" s="469" t="s">
        <v>68</v>
      </c>
      <c r="D37" s="51">
        <v>0.03</v>
      </c>
      <c r="E37" s="312" t="s">
        <v>157</v>
      </c>
      <c r="F37" s="663" t="s">
        <v>540</v>
      </c>
      <c r="G37" s="78"/>
      <c r="H37" s="51">
        <v>0</v>
      </c>
      <c r="I37" s="51">
        <v>0</v>
      </c>
      <c r="J37" s="470"/>
      <c r="K37" s="416"/>
      <c r="L37" s="439"/>
    </row>
    <row r="38" spans="2:12" s="417" customFormat="1" ht="13.8" thickBot="1" x14ac:dyDescent="0.3">
      <c r="B38" s="411"/>
      <c r="C38" s="469" t="s">
        <v>96</v>
      </c>
      <c r="D38" s="51">
        <v>0.03</v>
      </c>
      <c r="E38" s="338" t="s">
        <v>159</v>
      </c>
      <c r="F38" s="663" t="s">
        <v>540</v>
      </c>
      <c r="G38" s="471"/>
      <c r="H38" s="51">
        <v>0</v>
      </c>
      <c r="I38" s="51">
        <v>0</v>
      </c>
      <c r="J38" s="470"/>
      <c r="K38" s="416"/>
      <c r="L38" s="439"/>
    </row>
    <row r="39" spans="2:12" s="435" customFormat="1" ht="14.4" thickBot="1" x14ac:dyDescent="0.3">
      <c r="B39" s="432"/>
      <c r="C39" s="426" t="s">
        <v>70</v>
      </c>
      <c r="D39" s="30">
        <f>SUM(D36:D38)</f>
        <v>0.1</v>
      </c>
      <c r="E39" s="778"/>
      <c r="F39" s="779"/>
      <c r="G39" s="779"/>
      <c r="H39" s="780"/>
      <c r="I39" s="62">
        <f>SUM(I36:I38)</f>
        <v>0</v>
      </c>
      <c r="J39" s="655"/>
      <c r="K39" s="434"/>
    </row>
    <row r="40" spans="2:12" s="435" customFormat="1" ht="14.4" thickBot="1" x14ac:dyDescent="0.3">
      <c r="B40" s="432"/>
      <c r="C40" s="440" t="s">
        <v>71</v>
      </c>
      <c r="D40" s="37">
        <f>D39+D33+D25+D12</f>
        <v>1</v>
      </c>
      <c r="E40" s="799"/>
      <c r="F40" s="799"/>
      <c r="G40" s="799"/>
      <c r="H40" s="799"/>
      <c r="I40" s="799"/>
      <c r="J40" s="800"/>
      <c r="K40" s="434"/>
    </row>
    <row r="41" spans="2:12" s="435" customFormat="1" ht="14.4" thickBot="1" x14ac:dyDescent="0.3">
      <c r="B41" s="432"/>
      <c r="C41" s="801" t="s">
        <v>72</v>
      </c>
      <c r="D41" s="802"/>
      <c r="E41" s="802"/>
      <c r="F41" s="802"/>
      <c r="G41" s="803"/>
      <c r="H41" s="787">
        <f>I39+I33+I25+I12</f>
        <v>0</v>
      </c>
      <c r="I41" s="788"/>
      <c r="J41" s="789"/>
      <c r="K41" s="434"/>
    </row>
    <row r="42" spans="2:12" ht="28.2" thickBot="1" x14ac:dyDescent="0.5">
      <c r="B42" s="441"/>
      <c r="C42" s="442"/>
      <c r="D42" s="442"/>
      <c r="E42" s="443"/>
      <c r="F42" s="668"/>
      <c r="G42" s="444"/>
      <c r="H42" s="445"/>
      <c r="I42" s="445"/>
      <c r="J42" s="446"/>
      <c r="K42" s="447"/>
    </row>
  </sheetData>
  <mergeCells count="14">
    <mergeCell ref="C41:G41"/>
    <mergeCell ref="H41:J41"/>
    <mergeCell ref="E25:H25"/>
    <mergeCell ref="C26:J26"/>
    <mergeCell ref="E33:H33"/>
    <mergeCell ref="C34:J34"/>
    <mergeCell ref="E39:H39"/>
    <mergeCell ref="E40:J40"/>
    <mergeCell ref="C13:J13"/>
    <mergeCell ref="C3:F3"/>
    <mergeCell ref="G3:J3"/>
    <mergeCell ref="G4:J4"/>
    <mergeCell ref="C5:J5"/>
    <mergeCell ref="E12:H12"/>
  </mergeCells>
  <conditionalFormatting sqref="D40">
    <cfRule type="cellIs" dxfId="5" priority="1" stopIfTrue="1" operator="greaterThan">
      <formula>1</formula>
    </cfRule>
    <cfRule type="cellIs" dxfId="4" priority="2" stopIfTrue="1" operator="lessThan">
      <formula>1</formula>
    </cfRule>
  </conditionalFormatting>
  <conditionalFormatting sqref="I12">
    <cfRule type="expression" dxfId="3" priority="3" stopIfTrue="1">
      <formula>"if($H$14/$D$14)&lt;80"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E648-A8BC-4312-AD61-3EC3C50AC8C1}">
  <dimension ref="A1:G24"/>
  <sheetViews>
    <sheetView zoomScale="81" workbookViewId="0">
      <selection activeCell="A4" sqref="A4:G5"/>
    </sheetView>
  </sheetViews>
  <sheetFormatPr defaultColWidth="26.6640625" defaultRowHeight="13.2" x14ac:dyDescent="0.25"/>
  <cols>
    <col min="1" max="1" width="75.21875" customWidth="1"/>
    <col min="2" max="2" width="16.109375" customWidth="1"/>
    <col min="3" max="3" width="33.5546875" customWidth="1"/>
    <col min="4" max="4" width="22.6640625" customWidth="1"/>
    <col min="5" max="6" width="21.88671875" customWidth="1"/>
  </cols>
  <sheetData>
    <row r="1" spans="1:7" ht="24.6" x14ac:dyDescent="0.4">
      <c r="A1" s="807" t="s">
        <v>834</v>
      </c>
      <c r="B1" s="808"/>
      <c r="C1" s="808"/>
      <c r="D1" s="809" t="s">
        <v>33</v>
      </c>
      <c r="E1" s="810"/>
      <c r="F1" s="810"/>
      <c r="G1" s="811"/>
    </row>
    <row r="2" spans="1:7" ht="25.2" thickBot="1" x14ac:dyDescent="0.3">
      <c r="A2" s="400">
        <v>2024</v>
      </c>
      <c r="B2" s="401"/>
      <c r="C2" s="401"/>
      <c r="D2" s="812" t="s">
        <v>34</v>
      </c>
      <c r="E2" s="813"/>
      <c r="F2" s="813"/>
      <c r="G2" s="814"/>
    </row>
    <row r="3" spans="1:7" ht="16.2" thickBot="1" x14ac:dyDescent="0.3">
      <c r="A3" s="781" t="s">
        <v>35</v>
      </c>
      <c r="B3" s="782"/>
      <c r="C3" s="782"/>
      <c r="D3" s="782"/>
      <c r="E3" s="782"/>
      <c r="F3" s="782"/>
      <c r="G3" s="783"/>
    </row>
    <row r="4" spans="1:7" ht="28.2" thickBot="1" x14ac:dyDescent="0.3">
      <c r="A4" s="406" t="s">
        <v>36</v>
      </c>
      <c r="B4" s="407" t="s">
        <v>37</v>
      </c>
      <c r="C4" s="408" t="s">
        <v>38</v>
      </c>
      <c r="D4" s="408" t="s">
        <v>39</v>
      </c>
      <c r="E4" s="407" t="s">
        <v>40</v>
      </c>
      <c r="F4" s="448" t="s">
        <v>41</v>
      </c>
      <c r="G4" s="409" t="s">
        <v>42</v>
      </c>
    </row>
    <row r="5" spans="1:7" x14ac:dyDescent="0.25">
      <c r="A5" s="451" t="s">
        <v>124</v>
      </c>
      <c r="B5" s="39">
        <v>0.25</v>
      </c>
      <c r="C5" s="329" t="s">
        <v>125</v>
      </c>
      <c r="D5" s="461"/>
      <c r="E5" s="79">
        <v>0</v>
      </c>
      <c r="F5" s="60">
        <v>0</v>
      </c>
      <c r="G5" s="659"/>
    </row>
    <row r="6" spans="1:7" ht="13.8" thickBot="1" x14ac:dyDescent="0.3">
      <c r="A6" s="452" t="s">
        <v>126</v>
      </c>
      <c r="B6" s="51">
        <v>0.25</v>
      </c>
      <c r="C6" s="456">
        <v>0.16300000000000001</v>
      </c>
      <c r="D6" s="462"/>
      <c r="E6" s="79">
        <v>0</v>
      </c>
      <c r="F6" s="51">
        <v>0</v>
      </c>
      <c r="G6" s="450"/>
    </row>
    <row r="7" spans="1:7" ht="14.4" thickBot="1" x14ac:dyDescent="0.3">
      <c r="A7" s="426" t="s">
        <v>49</v>
      </c>
      <c r="B7" s="427">
        <f>SUM(B5:B6)</f>
        <v>0.5</v>
      </c>
      <c r="C7" s="815"/>
      <c r="D7" s="815"/>
      <c r="E7" s="815"/>
      <c r="F7" s="428">
        <f>SUM(F5:F6)</f>
        <v>0</v>
      </c>
      <c r="G7" s="409"/>
    </row>
    <row r="8" spans="1:7" ht="16.2" thickBot="1" x14ac:dyDescent="0.3">
      <c r="A8" s="804" t="s">
        <v>50</v>
      </c>
      <c r="B8" s="805"/>
      <c r="C8" s="805"/>
      <c r="D8" s="805"/>
      <c r="E8" s="805"/>
      <c r="F8" s="805"/>
      <c r="G8" s="806"/>
    </row>
    <row r="9" spans="1:7" ht="28.2" thickBot="1" x14ac:dyDescent="0.3">
      <c r="A9" s="406" t="s">
        <v>36</v>
      </c>
      <c r="B9" s="407" t="s">
        <v>37</v>
      </c>
      <c r="C9" s="409" t="s">
        <v>38</v>
      </c>
      <c r="D9" s="408" t="s">
        <v>39</v>
      </c>
      <c r="E9" s="407" t="s">
        <v>40</v>
      </c>
      <c r="F9" s="448" t="s">
        <v>41</v>
      </c>
      <c r="G9" s="409" t="s">
        <v>42</v>
      </c>
    </row>
    <row r="10" spans="1:7" ht="26.4" x14ac:dyDescent="0.25">
      <c r="A10" s="454" t="s">
        <v>131</v>
      </c>
      <c r="B10" s="49">
        <v>0.1</v>
      </c>
      <c r="C10" s="329" t="s">
        <v>58</v>
      </c>
      <c r="D10" s="461"/>
      <c r="E10" s="51">
        <v>0</v>
      </c>
      <c r="F10" s="60">
        <v>0</v>
      </c>
      <c r="G10" s="459"/>
    </row>
    <row r="11" spans="1:7" ht="13.8" thickBot="1" x14ac:dyDescent="0.3">
      <c r="A11" s="455" t="s">
        <v>812</v>
      </c>
      <c r="B11" s="51">
        <v>0.1</v>
      </c>
      <c r="C11" s="329" t="s">
        <v>133</v>
      </c>
      <c r="D11" s="462"/>
      <c r="E11" s="51">
        <v>0</v>
      </c>
      <c r="F11" s="51">
        <v>0</v>
      </c>
      <c r="G11" s="449"/>
    </row>
    <row r="12" spans="1:7" ht="14.4" thickBot="1" x14ac:dyDescent="0.3">
      <c r="A12" s="426" t="s">
        <v>55</v>
      </c>
      <c r="B12" s="427">
        <f>SUM(B10:B11)</f>
        <v>0.2</v>
      </c>
      <c r="C12" s="815"/>
      <c r="D12" s="815"/>
      <c r="E12" s="815"/>
      <c r="F12" s="433">
        <f>SUM(F10:F11)</f>
        <v>0</v>
      </c>
      <c r="G12" s="409"/>
    </row>
    <row r="13" spans="1:7" ht="16.2" thickBot="1" x14ac:dyDescent="0.3">
      <c r="A13" s="804" t="s">
        <v>56</v>
      </c>
      <c r="B13" s="805"/>
      <c r="C13" s="805"/>
      <c r="D13" s="805"/>
      <c r="E13" s="805"/>
      <c r="F13" s="805"/>
      <c r="G13" s="806"/>
    </row>
    <row r="14" spans="1:7" ht="28.2" thickBot="1" x14ac:dyDescent="0.3">
      <c r="A14" s="406" t="s">
        <v>36</v>
      </c>
      <c r="B14" s="407" t="s">
        <v>37</v>
      </c>
      <c r="C14" s="409" t="s">
        <v>38</v>
      </c>
      <c r="D14" s="408" t="s">
        <v>39</v>
      </c>
      <c r="E14" s="407" t="s">
        <v>40</v>
      </c>
      <c r="F14" s="448" t="s">
        <v>41</v>
      </c>
      <c r="G14" s="409" t="s">
        <v>42</v>
      </c>
    </row>
    <row r="15" spans="1:7" ht="26.4" x14ac:dyDescent="0.25">
      <c r="A15" s="458" t="s">
        <v>147</v>
      </c>
      <c r="B15" s="49">
        <v>0.1</v>
      </c>
      <c r="C15" s="465">
        <v>159373</v>
      </c>
      <c r="D15" s="73"/>
      <c r="E15" s="51">
        <v>0</v>
      </c>
      <c r="F15" s="60">
        <v>0</v>
      </c>
      <c r="G15" s="459"/>
    </row>
    <row r="16" spans="1:7" ht="13.8" thickBot="1" x14ac:dyDescent="0.3">
      <c r="A16" s="455" t="s">
        <v>148</v>
      </c>
      <c r="B16" s="51">
        <v>0.1</v>
      </c>
      <c r="C16" s="465">
        <v>18438</v>
      </c>
      <c r="D16" s="78"/>
      <c r="E16" s="51">
        <v>0</v>
      </c>
      <c r="F16" s="51">
        <v>0</v>
      </c>
      <c r="G16" s="449"/>
    </row>
    <row r="17" spans="1:7" ht="14.4" thickBot="1" x14ac:dyDescent="0.3">
      <c r="A17" s="426" t="s">
        <v>63</v>
      </c>
      <c r="B17" s="427">
        <f>SUM(B15:B16)</f>
        <v>0.2</v>
      </c>
      <c r="C17" s="815"/>
      <c r="D17" s="815"/>
      <c r="E17" s="815"/>
      <c r="F17" s="436">
        <f>SUM(F15:F16)</f>
        <v>0</v>
      </c>
      <c r="G17" s="409"/>
    </row>
    <row r="18" spans="1:7" ht="16.2" thickBot="1" x14ac:dyDescent="0.3">
      <c r="A18" s="816" t="s">
        <v>64</v>
      </c>
      <c r="B18" s="817"/>
      <c r="C18" s="817"/>
      <c r="D18" s="817"/>
      <c r="E18" s="817"/>
      <c r="F18" s="817"/>
      <c r="G18" s="806"/>
    </row>
    <row r="19" spans="1:7" ht="28.2" thickBot="1" x14ac:dyDescent="0.3">
      <c r="A19" s="437" t="s">
        <v>36</v>
      </c>
      <c r="B19" s="407" t="s">
        <v>37</v>
      </c>
      <c r="C19" s="409" t="s">
        <v>38</v>
      </c>
      <c r="D19" s="408" t="s">
        <v>39</v>
      </c>
      <c r="E19" s="407" t="s">
        <v>40</v>
      </c>
      <c r="F19" s="448" t="s">
        <v>41</v>
      </c>
      <c r="G19" s="438" t="s">
        <v>42</v>
      </c>
    </row>
    <row r="20" spans="1:7" ht="66" x14ac:dyDescent="0.25">
      <c r="A20" s="469" t="s">
        <v>155</v>
      </c>
      <c r="B20" s="51">
        <v>0.05</v>
      </c>
      <c r="C20" s="160" t="s">
        <v>156</v>
      </c>
      <c r="D20" s="147"/>
      <c r="E20" s="51">
        <v>0</v>
      </c>
      <c r="F20" s="60">
        <v>0</v>
      </c>
      <c r="G20" s="470"/>
    </row>
    <row r="21" spans="1:7" ht="53.4" thickBot="1" x14ac:dyDescent="0.3">
      <c r="A21" s="469" t="s">
        <v>68</v>
      </c>
      <c r="B21" s="51">
        <v>0.05</v>
      </c>
      <c r="C21" s="312" t="s">
        <v>157</v>
      </c>
      <c r="D21" s="78"/>
      <c r="E21" s="51">
        <v>0</v>
      </c>
      <c r="F21" s="51">
        <v>0</v>
      </c>
      <c r="G21" s="470"/>
    </row>
    <row r="22" spans="1:7" ht="14.4" thickBot="1" x14ac:dyDescent="0.3">
      <c r="A22" s="426" t="s">
        <v>70</v>
      </c>
      <c r="B22" s="30">
        <f>SUM(B20:B21)</f>
        <v>0.1</v>
      </c>
      <c r="C22" s="778"/>
      <c r="D22" s="779"/>
      <c r="E22" s="780"/>
      <c r="F22" s="62">
        <f>SUM(F20:F21)</f>
        <v>0</v>
      </c>
      <c r="G22" s="655"/>
    </row>
    <row r="23" spans="1:7" ht="14.4" thickBot="1" x14ac:dyDescent="0.3">
      <c r="A23" s="440" t="s">
        <v>71</v>
      </c>
      <c r="B23" s="37">
        <f>B22+B17+B12+B7</f>
        <v>1</v>
      </c>
      <c r="C23" s="799"/>
      <c r="D23" s="799"/>
      <c r="E23" s="799"/>
      <c r="F23" s="799"/>
      <c r="G23" s="800"/>
    </row>
    <row r="24" spans="1:7" ht="14.4" thickBot="1" x14ac:dyDescent="0.3">
      <c r="A24" s="801" t="s">
        <v>72</v>
      </c>
      <c r="B24" s="802"/>
      <c r="C24" s="802"/>
      <c r="D24" s="803"/>
      <c r="E24" s="787">
        <f>F22+F17+F12+F7</f>
        <v>0</v>
      </c>
      <c r="F24" s="788"/>
      <c r="G24" s="789"/>
    </row>
  </sheetData>
  <mergeCells count="14">
    <mergeCell ref="A8:G8"/>
    <mergeCell ref="A1:C1"/>
    <mergeCell ref="D1:G1"/>
    <mergeCell ref="D2:G2"/>
    <mergeCell ref="A3:G3"/>
    <mergeCell ref="C7:E7"/>
    <mergeCell ref="A24:D24"/>
    <mergeCell ref="E24:G24"/>
    <mergeCell ref="C12:E12"/>
    <mergeCell ref="A13:G13"/>
    <mergeCell ref="C17:E17"/>
    <mergeCell ref="A18:G18"/>
    <mergeCell ref="C22:E22"/>
    <mergeCell ref="C23:G23"/>
  </mergeCells>
  <conditionalFormatting sqref="B23">
    <cfRule type="cellIs" dxfId="2" priority="1" stopIfTrue="1" operator="greaterThan">
      <formula>1</formula>
    </cfRule>
    <cfRule type="cellIs" dxfId="1" priority="2" stopIfTrue="1" operator="lessThan">
      <formula>1</formula>
    </cfRule>
  </conditionalFormatting>
  <conditionalFormatting sqref="F7">
    <cfRule type="expression" dxfId="0" priority="3" stopIfTrue="1">
      <formula>"if($H$14/$D$14)&lt;80"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1FDF-F394-440F-BF2D-1D5455BFB88B}">
  <dimension ref="A1:J3"/>
  <sheetViews>
    <sheetView topLeftCell="E1" workbookViewId="0">
      <selection activeCell="D22" sqref="D22"/>
    </sheetView>
  </sheetViews>
  <sheetFormatPr defaultColWidth="17.109375" defaultRowHeight="13.2" x14ac:dyDescent="0.25"/>
  <cols>
    <col min="1" max="1" width="15.33203125" customWidth="1"/>
    <col min="2" max="2" width="13.77734375" customWidth="1"/>
    <col min="3" max="3" width="15" customWidth="1"/>
    <col min="4" max="4" width="13.5546875" customWidth="1"/>
    <col min="6" max="6" width="14" customWidth="1"/>
    <col min="7" max="7" width="21.6640625" customWidth="1"/>
    <col min="8" max="8" width="24" customWidth="1"/>
    <col min="9" max="9" width="21.77734375" customWidth="1"/>
    <col min="10" max="10" width="19.6640625" customWidth="1"/>
  </cols>
  <sheetData>
    <row r="1" spans="1:10" ht="13.8" thickBot="1" x14ac:dyDescent="0.3">
      <c r="C1" s="871" t="s">
        <v>845</v>
      </c>
      <c r="D1" s="872"/>
      <c r="E1" s="873"/>
      <c r="F1" s="874" t="s">
        <v>838</v>
      </c>
      <c r="G1" s="875"/>
      <c r="H1" s="875"/>
      <c r="I1" s="876"/>
    </row>
    <row r="2" spans="1:10" ht="27" thickBot="1" x14ac:dyDescent="0.3">
      <c r="A2" s="758" t="s">
        <v>5</v>
      </c>
      <c r="B2" s="759" t="s">
        <v>852</v>
      </c>
      <c r="C2" s="760" t="s">
        <v>851</v>
      </c>
      <c r="D2" s="760" t="s">
        <v>836</v>
      </c>
      <c r="E2" s="760" t="s">
        <v>837</v>
      </c>
      <c r="F2" s="761" t="s">
        <v>847</v>
      </c>
      <c r="G2" s="761" t="s">
        <v>846</v>
      </c>
      <c r="H2" s="761" t="s">
        <v>848</v>
      </c>
      <c r="I2" s="762" t="s">
        <v>849</v>
      </c>
      <c r="J2" s="763" t="s">
        <v>850</v>
      </c>
    </row>
    <row r="3" spans="1:10" ht="34.200000000000003" x14ac:dyDescent="0.25">
      <c r="A3" s="451"/>
      <c r="B3" s="60"/>
      <c r="C3" s="764"/>
      <c r="D3" s="766" t="s">
        <v>844</v>
      </c>
      <c r="E3" s="766" t="s">
        <v>843</v>
      </c>
      <c r="F3" s="757" t="s">
        <v>839</v>
      </c>
      <c r="G3" s="757" t="s">
        <v>840</v>
      </c>
      <c r="H3" s="755" t="s">
        <v>841</v>
      </c>
      <c r="I3" s="765" t="s">
        <v>842</v>
      </c>
      <c r="J3" s="756" t="s">
        <v>835</v>
      </c>
    </row>
  </sheetData>
  <mergeCells count="2">
    <mergeCell ref="C1:E1"/>
    <mergeCell ref="F1:I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DF9FEB6829945A82BF22D244CDA60" ma:contentTypeVersion="15" ma:contentTypeDescription="Create a new document." ma:contentTypeScope="" ma:versionID="a673b9391f32b00971900e5dfd60cfc4">
  <xsd:schema xmlns:xsd="http://www.w3.org/2001/XMLSchema" xmlns:xs="http://www.w3.org/2001/XMLSchema" xmlns:p="http://schemas.microsoft.com/office/2006/metadata/properties" xmlns:ns2="bb1e97da-3cb6-49ad-86d5-f16f802f495d" xmlns:ns3="cc90f081-8e5a-4dad-bc4a-7186f04f0244" targetNamespace="http://schemas.microsoft.com/office/2006/metadata/properties" ma:root="true" ma:fieldsID="ed77293da30110fdb4c4c121746064a7" ns2:_="" ns3:_="">
    <xsd:import namespace="bb1e97da-3cb6-49ad-86d5-f16f802f495d"/>
    <xsd:import namespace="cc90f081-8e5a-4dad-bc4a-7186f04f02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e97da-3cb6-49ad-86d5-f16f802f49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f333aa0-1660-4a69-b487-86ecbf4b4b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0f081-8e5a-4dad-bc4a-7186f04f024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4e576b5-f594-496b-8bd9-dfbbe5620836}" ma:internalName="TaxCatchAll" ma:showField="CatchAllData" ma:web="cc90f081-8e5a-4dad-bc4a-7186f04f02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90f081-8e5a-4dad-bc4a-7186f04f0244" xsi:nil="true"/>
    <lcf76f155ced4ddcb4097134ff3c332f xmlns="bb1e97da-3cb6-49ad-86d5-f16f802f495d">
      <Terms xmlns="http://schemas.microsoft.com/office/infopath/2007/PartnerControls"/>
    </lcf76f155ced4ddcb4097134ff3c332f>
    <SharedWithUsers xmlns="cc90f081-8e5a-4dad-bc4a-7186f04f0244">
      <UserInfo>
        <DisplayName>Saad Khan</DisplayName>
        <AccountId>302</AccountId>
        <AccountType/>
      </UserInfo>
      <UserInfo>
        <DisplayName>Laila Altamimi</DisplayName>
        <AccountId>303</AccountId>
        <AccountType/>
      </UserInfo>
      <UserInfo>
        <DisplayName>Massimo Digiovannantonio</DisplayName>
        <AccountId>304</AccountId>
        <AccountType/>
      </UserInfo>
      <UserInfo>
        <DisplayName>Zainab Hashim</DisplayName>
        <AccountId>305</AccountId>
        <AccountType/>
      </UserInfo>
      <UserInfo>
        <DisplayName>Kasica Fernandes</DisplayName>
        <AccountId>306</AccountId>
        <AccountType/>
      </UserInfo>
      <UserInfo>
        <DisplayName>Linda Chavan</DisplayName>
        <AccountId>307</AccountId>
        <AccountType/>
      </UserInfo>
      <UserInfo>
        <DisplayName>Maitha Altamimi</DisplayName>
        <AccountId>308</AccountId>
        <AccountType/>
      </UserInfo>
      <UserInfo>
        <DisplayName>Marwah Albanna</DisplayName>
        <AccountId>309</AccountId>
        <AccountType/>
      </UserInfo>
      <UserInfo>
        <DisplayName>Ahmad Almadani</DisplayName>
        <AccountId>310</AccountId>
        <AccountType/>
      </UserInfo>
      <UserInfo>
        <DisplayName>James Philip</DisplayName>
        <AccountId>262</AccountId>
        <AccountType/>
      </UserInfo>
      <UserInfo>
        <DisplayName>Jetson Daniel</DisplayName>
        <AccountId>91</AccountId>
        <AccountType/>
      </UserInfo>
      <UserInfo>
        <DisplayName>Amit Thakur</DisplayName>
        <AccountId>296</AccountId>
        <AccountType/>
      </UserInfo>
      <UserInfo>
        <DisplayName>Glino Sunny</DisplayName>
        <AccountId>264</AccountId>
        <AccountType/>
      </UserInfo>
      <UserInfo>
        <DisplayName>Samuel Cherry</DisplayName>
        <AccountId>13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C39057C-4F95-4F4C-B127-3D1A21FD6F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71F18-8306-4FFC-94A1-1F4C33A21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e97da-3cb6-49ad-86d5-f16f802f495d"/>
    <ds:schemaRef ds:uri="cc90f081-8e5a-4dad-bc4a-7186f04f02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CA9378-6569-4183-9B2F-3F0DD9F38F61}">
  <ds:schemaRefs>
    <ds:schemaRef ds:uri="bb1e97da-3cb6-49ad-86d5-f16f802f495d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cc90f081-8e5a-4dad-bc4a-7186f04f024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Guidelines</vt:lpstr>
      <vt:lpstr>Auto President</vt:lpstr>
      <vt:lpstr>Auto Finance</vt:lpstr>
      <vt:lpstr>Auto HR</vt:lpstr>
      <vt:lpstr>Business Operations</vt:lpstr>
      <vt:lpstr>Developing Markets</vt:lpstr>
      <vt:lpstr>AFSRL</vt:lpstr>
      <vt:lpstr>Cust Centricity</vt:lpstr>
      <vt:lpstr>Net &amp; Planning</vt:lpstr>
      <vt:lpstr>Strat &amp; Transf</vt:lpstr>
      <vt:lpstr>New Business</vt:lpstr>
      <vt:lpstr>AF Logistics</vt:lpstr>
      <vt:lpstr>Auto IT</vt:lpstr>
      <vt:lpstr>AMW</vt:lpstr>
      <vt:lpstr>AGTL</vt:lpstr>
      <vt:lpstr>CMC</vt:lpstr>
      <vt:lpstr>Toyota Lexus UAE</vt:lpstr>
      <vt:lpstr>Reg Dealer Brands</vt:lpstr>
      <vt:lpstr>Elec Mobility</vt:lpstr>
      <vt:lpstr>Global Aftersales</vt:lpstr>
      <vt:lpstr>Fleet &amp; Remarketing</vt:lpstr>
      <vt:lpstr>Toyota Egypt</vt:lpstr>
      <vt:lpstr>Industrial Equip</vt:lpstr>
      <vt:lpstr>GR &amp; HSSE</vt:lpstr>
      <vt:lpstr>Ops Performance</vt:lpstr>
      <vt:lpstr>Sheet1</vt:lpstr>
      <vt:lpstr>H1 Acheivement template</vt:lpstr>
    </vt:vector>
  </TitlesOfParts>
  <Manager/>
  <Company>Indianapolis Life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 Diab</dc:creator>
  <cp:keywords/>
  <dc:description/>
  <cp:lastModifiedBy>James Philip</cp:lastModifiedBy>
  <cp:revision/>
  <dcterms:created xsi:type="dcterms:W3CDTF">2000-11-14T13:08:12Z</dcterms:created>
  <dcterms:modified xsi:type="dcterms:W3CDTF">2025-01-10T11:22:07Z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0x010100EE3DF9FEB6829945A82BF22D244CDA60</vt:lpwstr>
  </property>
  <property fmtid="{D5CDD505-2E9C-101B-9397-08002B2CF9AE}" pid="3" name="MediaServiceImageTags">
    <vt:lpwstr/>
  </property>
</Properties>
</file>