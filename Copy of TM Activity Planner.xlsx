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filterPrivacy="1" codeName="ThisWorkbook"/>
  <xr:revisionPtr revIDLastSave="0" documentId="13_ncr:1_{A32E8EEF-1918-4E9C-8F90-330845D66429}" xr6:coauthVersionLast="46" xr6:coauthVersionMax="46" xr10:uidLastSave="{00000000-0000-0000-0000-000000000000}"/>
  <bookViews>
    <workbookView xWindow="-110" yWindow="-110" windowWidth="19420" windowHeight="10420" tabRatio="415" xr2:uid="{00000000-000D-0000-FFFF-FFFF00000000}"/>
  </bookViews>
  <sheets>
    <sheet name="2023 TM Planner " sheetId="20" r:id="rId1"/>
    <sheet name="2023 Activity" sheetId="19" r:id="rId2"/>
  </sheets>
  <definedNames>
    <definedName name="_xlnm.Print_Titles" localSheetId="0">'2023 TM Planner '!$6:$9</definedName>
    <definedName name="Project_Start" localSheetId="0">'2023 TM Planner '!#REF!</definedName>
    <definedName name="Project_Start">#REF!</definedName>
    <definedName name="Scrolling_Increment" localSheetId="0">'2023 TM Planner '!#REF!</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5" i="20" l="1"/>
  <c r="K48" i="20"/>
  <c r="K40" i="20"/>
  <c r="K70" i="20"/>
  <c r="K69" i="20"/>
  <c r="K68" i="20"/>
  <c r="K66" i="20"/>
  <c r="K65" i="20"/>
  <c r="K64" i="20"/>
  <c r="K62" i="20"/>
  <c r="K59" i="20"/>
  <c r="K58" i="20"/>
  <c r="K57" i="20"/>
  <c r="K56" i="20"/>
  <c r="K24" i="20"/>
  <c r="K21" i="20"/>
  <c r="K15" i="20"/>
  <c r="K38" i="20"/>
  <c r="K46" i="20" l="1"/>
  <c r="K39" i="20"/>
  <c r="K47" i="20"/>
  <c r="K44" i="20"/>
  <c r="K43" i="20"/>
  <c r="K42" i="20"/>
  <c r="K41" i="20"/>
  <c r="K37" i="20"/>
  <c r="K35" i="20"/>
  <c r="K32" i="20"/>
  <c r="K29" i="20"/>
  <c r="K28" i="20"/>
  <c r="K19" i="20"/>
  <c r="K18" i="20"/>
  <c r="K17" i="20"/>
  <c r="K16" i="20"/>
  <c r="K12" i="20"/>
  <c r="K33" i="20" l="1"/>
  <c r="K31" i="20"/>
  <c r="K30" i="20"/>
  <c r="K26" i="20"/>
  <c r="K23" i="20"/>
  <c r="K22" i="20"/>
  <c r="K14" i="20"/>
</calcChain>
</file>

<file path=xl/sharedStrings.xml><?xml version="1.0" encoding="utf-8"?>
<sst xmlns="http://schemas.openxmlformats.org/spreadsheetml/2006/main" count="105" uniqueCount="94">
  <si>
    <t>Start</t>
  </si>
  <si>
    <t>Days</t>
  </si>
  <si>
    <t>2022 Calibration</t>
  </si>
  <si>
    <t>2022 Year End Evaluation</t>
  </si>
  <si>
    <t>2023 Individual Goal Setting</t>
  </si>
  <si>
    <t>End</t>
  </si>
  <si>
    <t>Main Activity</t>
  </si>
  <si>
    <t>All the year around</t>
  </si>
  <si>
    <t>Talent Identification</t>
  </si>
  <si>
    <t xml:space="preserve">Continuous Performance Management </t>
  </si>
  <si>
    <t>Critical Role Identification</t>
  </si>
  <si>
    <t>Objectives</t>
  </si>
  <si>
    <t>Timelines</t>
  </si>
  <si>
    <t>HRBP</t>
  </si>
  <si>
    <t>Line Manager</t>
  </si>
  <si>
    <t>Employee</t>
  </si>
  <si>
    <t>Activity</t>
  </si>
  <si>
    <t>TM</t>
  </si>
  <si>
    <t>PRD Rating completion</t>
  </si>
  <si>
    <t>Quarterly meeting to follow up on action plan &amp; discuss any support needed</t>
  </si>
  <si>
    <t>Ensure action plan 
is executed on time.</t>
  </si>
  <si>
    <t xml:space="preserve"> </t>
  </si>
  <si>
    <t xml:space="preserve">  Enablement sessions for Line managers</t>
  </si>
  <si>
    <t xml:space="preserve">  Enablement sessions for employees </t>
  </si>
  <si>
    <t xml:space="preserve">  Complete the self-evaluation on the system</t>
  </si>
  <si>
    <t xml:space="preserve">  complete the performance discussion with the employees</t>
  </si>
  <si>
    <t xml:space="preserve"> Discussion meetings with the Line manager</t>
  </si>
  <si>
    <t xml:space="preserve">  Line manager &amp; employee objective-setting meetings</t>
  </si>
  <si>
    <t xml:space="preserve">  Completion of the goal settings on the system</t>
  </si>
  <si>
    <t>*Proactive Identification Based on Company Needs
* Forecast and Plan for Change
* Critical Roles to Future Business Needs</t>
  </si>
  <si>
    <t>Sessions / Workshops</t>
  </si>
  <si>
    <t>Communication</t>
  </si>
  <si>
    <t>Responsibility</t>
  </si>
  <si>
    <t>Expected Outcome</t>
  </si>
  <si>
    <t>100% completion</t>
  </si>
  <si>
    <t>100% goal setting completion</t>
  </si>
  <si>
    <t>* Building successor profiles
* Assess development needs 
* Enabling employees Career path
* Employees segment and satisfaction</t>
  </si>
  <si>
    <t xml:space="preserve">360 Leadership Assessment </t>
  </si>
  <si>
    <t xml:space="preserve">Roll out the 360 Leadership assessment </t>
  </si>
  <si>
    <t>June/ Sep/Dec/ March</t>
  </si>
  <si>
    <t xml:space="preserve"> Employees Appeal - 
Within 15 days of the rating communication</t>
  </si>
  <si>
    <t xml:space="preserve"> 2022 Calibration Rating Communication</t>
  </si>
  <si>
    <t xml:space="preserve"> Finalize Calibration meetings with the HODs</t>
  </si>
  <si>
    <t>Talent identification initial meeting</t>
  </si>
  <si>
    <t xml:space="preserve">  Release the Form on the system</t>
  </si>
  <si>
    <t>Collect employee data/ Submit Top talents list 
after consolidation</t>
  </si>
  <si>
    <t>IDP Sign off meeting</t>
  </si>
  <si>
    <t>Enablement session HRBPs, LMs</t>
  </si>
  <si>
    <t xml:space="preserve">  Enablement sessions &amp; materials for Line managers</t>
  </si>
  <si>
    <t>Download and map the data from the talent cards</t>
  </si>
  <si>
    <t xml:space="preserve">  Complete the line manager rating on the system</t>
  </si>
  <si>
    <t xml:space="preserve"> Enablement sessions for HRPBs</t>
  </si>
  <si>
    <t xml:space="preserve"> Enablement sessions for Employees </t>
  </si>
  <si>
    <t>LMs communicate the rating to employees</t>
  </si>
  <si>
    <t xml:space="preserve"> Corporate comms communication</t>
  </si>
  <si>
    <t>Review the critical role &amp; highlight the ones included in the talent value exercise</t>
  </si>
  <si>
    <t xml:space="preserve"> Quarterly review and status update</t>
  </si>
  <si>
    <t xml:space="preserve">Enablement sessions, Develop and update Toolkits </t>
  </si>
  <si>
    <t>Engagement &amp; Wellbeing</t>
  </si>
  <si>
    <t xml:space="preserve">Growing together Survey Results </t>
  </si>
  <si>
    <t>Growing together Survey Action Planning Follow Up</t>
  </si>
  <si>
    <t>Launch of UAE EAP</t>
  </si>
  <si>
    <t>Monthly Wellbeing calendar / 
Organisation of monthly webinars &amp; monthly wellbeing newsletter</t>
  </si>
  <si>
    <t>Growing together Survey Action Planning &amp; workshops</t>
  </si>
  <si>
    <t>Experience &amp; Culture</t>
  </si>
  <si>
    <t>Unified monthly onboarding event</t>
  </si>
  <si>
    <t>Bringing Values to life</t>
  </si>
  <si>
    <t>Learning &amp; Leadership Development</t>
  </si>
  <si>
    <t xml:space="preserve">HRD to share Divisional results </t>
  </si>
  <si>
    <t>May &amp; Sep 2023</t>
  </si>
  <si>
    <t>Engagement Pulse Surveys 
Define the areas of focus, set up, communicate and run the surveys &amp; reports</t>
  </si>
  <si>
    <t>June &amp; Oct 2023</t>
  </si>
  <si>
    <t>Level 1 Leadership Journey : 
Design of Modules &amp; TTT together with running of a central cohort</t>
  </si>
  <si>
    <t>Level 2 Leadership Journey:
 Design of Module content &amp; structure</t>
  </si>
  <si>
    <t>Level 2 Leadership Journey :
Co-ordinate delivery of central cohort</t>
  </si>
  <si>
    <t>L&amp;D to contribute the ideas
 HRBPs to enable the implementation</t>
  </si>
  <si>
    <t>Drive-in, MINT and LEAD : 
Define the monthly calendar of learning events</t>
  </si>
  <si>
    <t>Monthly engagement calendar/ 
Design of the activities &amp; initiative recommendation</t>
  </si>
  <si>
    <t>Relaunch of Values &amp; development of all materials</t>
  </si>
  <si>
    <t xml:space="preserve">Design and drive the events of the idigital Leadership series targeting Band J &amp; above 
</t>
  </si>
  <si>
    <t>Design learning paths and session content for 
idigital Data Analytics Academy</t>
  </si>
  <si>
    <t>All the year</t>
  </si>
  <si>
    <t>Talent Card - Band H+</t>
  </si>
  <si>
    <t>Aug/ Nov 2023</t>
  </si>
  <si>
    <t xml:space="preserve"> Top talent IDPs setting with employees</t>
  </si>
  <si>
    <t xml:space="preserve"> Confirmation on the 100%  employees goal
 completion on the system</t>
  </si>
  <si>
    <t xml:space="preserve"> Corporate Communication &amp; Release the form
 on the system</t>
  </si>
  <si>
    <t>2023 Talent Management &amp; Events Calendar</t>
  </si>
  <si>
    <t>Run external assessment for the top 3 talents</t>
  </si>
  <si>
    <t xml:space="preserve"> Action plan with all agreed points </t>
  </si>
  <si>
    <t xml:space="preserve"> Anticipate vacancies for the next 12 month</t>
  </si>
  <si>
    <t>Potential assessment by line manager</t>
  </si>
  <si>
    <r>
      <t xml:space="preserve">  Top Talent </t>
    </r>
    <r>
      <rPr>
        <sz val="16"/>
        <color rgb="FFFF0000"/>
        <rFont val="Calibri"/>
        <family val="2"/>
        <scheme val="major"/>
      </rPr>
      <t>Calibration</t>
    </r>
    <r>
      <rPr>
        <sz val="16"/>
        <rFont val="Calibri"/>
        <family val="2"/>
        <scheme val="major"/>
      </rPr>
      <t xml:space="preserve"> (9 box performance)</t>
    </r>
  </si>
  <si>
    <r>
      <t xml:space="preserve">Talent Discussion ( Identifying prioritized successors, Hi-  Pos and </t>
    </r>
    <r>
      <rPr>
        <sz val="16"/>
        <color rgb="FFFF0000"/>
        <rFont val="Calibri"/>
        <family val="2"/>
        <scheme val="major"/>
      </rPr>
      <t>candidate slate for new vacancies</t>
    </r>
    <r>
      <rPr>
        <sz val="16"/>
        <rFont val="Calibri"/>
        <family val="2"/>
        <scheme val="maj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</si>
</sst>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0"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4"/>
      <color theme="0"/>
      <name val="Calibri"/>
      <family val="2"/>
      <scheme val="minor"/>
    </font>
    <font>
      <sz val="14"/>
      <name val="Calibri"/>
      <family val="2"/>
      <scheme val="minor"/>
    </font>
    <font>
      <sz val="14"/>
      <color theme="0"/>
      <name val="Calibri"/>
      <family val="2"/>
      <scheme val="minor"/>
    </font>
    <font>
      <b/>
      <sz val="16"/>
      <name val="Calibri"/>
      <family val="2"/>
      <scheme val="minor"/>
    </font>
    <font>
      <b/>
      <sz val="16"/>
      <name val="Calibri"/>
      <family val="2"/>
      <scheme val="major"/>
    </font>
    <font>
      <sz val="16"/>
      <name val="Calibri"/>
      <family val="2"/>
      <scheme val="major"/>
    </font>
    <font>
      <sz val="16"/>
      <color theme="1"/>
      <name val="Calibri"/>
      <family val="2"/>
      <scheme val="major"/>
    </font>
    <font>
      <b/>
      <sz val="16"/>
      <color theme="0"/>
      <name val="Calibri"/>
      <family val="2"/>
      <scheme val="major"/>
    </font>
    <font>
      <b/>
      <sz val="36"/>
      <color theme="0"/>
      <name val="Calibri"/>
      <family val="2"/>
      <scheme val="major"/>
    </font>
    <font>
      <sz val="16"/>
      <color rgb="FFFF0000"/>
      <name val="Calibri"/>
      <family val="2"/>
      <scheme val="major"/>
    </font>
    <font>
      <sz val="16"/>
      <color theme="1"/>
      <name val="Calibri"/>
      <family val="2"/>
      <scheme val="minor"/>
    </font>
    <font>
      <sz val="11"/>
      <name val="Calibri"/>
      <family val="2"/>
      <scheme val="major"/>
    </font>
  </fonts>
  <fills count="14">
    <fill>
      <patternFill patternType="none"/>
    </fill>
    <fill>
      <patternFill patternType="gray125"/>
    </fill>
    <fill>
      <patternFill patternType="solid">
        <fgColor theme="0" tint="-4.9989318521683403E-2"/>
        <bgColor indexed="64"/>
      </patternFill>
    </fill>
    <fill>
      <patternFill patternType="solid">
        <fgColor theme="7" tint="-0.249977111117893"/>
        <bgColor indexed="64"/>
      </patternFill>
    </fill>
    <fill>
      <patternFill patternType="solid">
        <fgColor theme="9"/>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rgb="FF969696"/>
        <bgColor rgb="FFC0C0C0"/>
      </patternFill>
    </fill>
    <fill>
      <patternFill patternType="solid">
        <fgColor rgb="FF00B0F0"/>
        <bgColor indexed="64"/>
      </patternFill>
    </fill>
    <fill>
      <patternFill patternType="solid">
        <fgColor theme="0"/>
        <bgColor indexed="64"/>
      </patternFill>
    </fill>
    <fill>
      <patternFill patternType="solid">
        <fgColor rgb="FFC0C0C0"/>
        <bgColor indexed="64"/>
      </patternFill>
    </fill>
    <fill>
      <patternFill patternType="solid">
        <fgColor theme="2"/>
        <bgColor indexed="64"/>
      </patternFill>
    </fill>
    <fill>
      <patternFill patternType="solid">
        <fgColor theme="2" tint="-4.9989318521683403E-2"/>
        <bgColor indexed="64"/>
      </patternFill>
    </fill>
    <fill>
      <patternFill patternType="solid">
        <fgColor rgb="FFFFC000"/>
        <bgColor indexed="64"/>
      </patternFill>
    </fill>
  </fills>
  <borders count="7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style="thick">
        <color theme="0" tint="-0.34998626667073579"/>
      </right>
      <top style="thin">
        <color theme="0" tint="-0.499984740745262"/>
      </top>
      <bottom/>
      <diagonal/>
    </border>
    <border>
      <left style="thick">
        <color theme="0" tint="-0.34998626667073579"/>
      </left>
      <right/>
      <top style="thin">
        <color theme="0" tint="-0.499984740745262"/>
      </top>
      <bottom/>
      <diagonal/>
    </border>
    <border>
      <left/>
      <right style="thin">
        <color theme="0" tint="-0.34998626667073579"/>
      </right>
      <top style="thin">
        <color theme="0" tint="-0.34998626667073579"/>
      </top>
      <bottom style="thin">
        <color theme="0" tint="-0.34998626667073579"/>
      </bottom>
      <diagonal/>
    </border>
    <border>
      <left/>
      <right style="thin">
        <color theme="0" tint="-0.14993743705557422"/>
      </right>
      <top/>
      <bottom/>
      <diagonal/>
    </border>
    <border>
      <left/>
      <right style="thin">
        <color theme="0" tint="-0.14999847407452621"/>
      </right>
      <top style="thin">
        <color theme="0" tint="-0.14999847407452621"/>
      </top>
      <bottom/>
      <diagonal/>
    </border>
    <border>
      <left style="thin">
        <color theme="0" tint="-0.34998626667073579"/>
      </left>
      <right style="dashed">
        <color rgb="FF215881"/>
      </right>
      <top style="thin">
        <color theme="0" tint="-0.34998626667073579"/>
      </top>
      <bottom style="thin">
        <color theme="0" tint="-0.34998626667073579"/>
      </bottom>
      <diagonal/>
    </border>
    <border>
      <left style="thin">
        <color theme="0" tint="-0.14993743705557422"/>
      </left>
      <right style="dashed">
        <color rgb="FF215881"/>
      </right>
      <top/>
      <bottom/>
      <diagonal/>
    </border>
    <border>
      <left style="thin">
        <color theme="0" tint="-0.14999847407452621"/>
      </left>
      <right style="dashed">
        <color rgb="FF215881"/>
      </right>
      <top style="thin">
        <color theme="0" tint="-0.14999847407452621"/>
      </top>
      <bottom style="thin">
        <color theme="0" tint="-0.14999847407452621"/>
      </bottom>
      <diagonal/>
    </border>
    <border>
      <left style="thin">
        <color theme="0" tint="-0.14999847407452621"/>
      </left>
      <right style="dashed">
        <color rgb="FF215881"/>
      </right>
      <top style="thin">
        <color theme="0" tint="-0.14999847407452621"/>
      </top>
      <bottom/>
      <diagonal/>
    </border>
    <border>
      <left style="dashed">
        <color rgb="FF215881"/>
      </left>
      <right style="thin">
        <color theme="0" tint="-0.34998626667073579"/>
      </right>
      <top style="thin">
        <color theme="0" tint="-0.34998626667073579"/>
      </top>
      <bottom style="thin">
        <color theme="0" tint="-0.34998626667073579"/>
      </bottom>
      <diagonal/>
    </border>
    <border>
      <left style="dashed">
        <color rgb="FF215881"/>
      </left>
      <right style="thin">
        <color theme="0" tint="-0.14993743705557422"/>
      </right>
      <top/>
      <bottom/>
      <diagonal/>
    </border>
    <border>
      <left style="dashed">
        <color rgb="FF215881"/>
      </left>
      <right style="thin">
        <color theme="0" tint="-0.14999847407452621"/>
      </right>
      <top style="thin">
        <color theme="0" tint="-0.14999847407452621"/>
      </top>
      <bottom style="thin">
        <color theme="0" tint="-0.14999847407452621"/>
      </bottom>
      <diagonal/>
    </border>
    <border>
      <left style="dashed">
        <color rgb="FF215881"/>
      </left>
      <right style="thin">
        <color theme="0" tint="-0.14999847407452621"/>
      </right>
      <top style="thin">
        <color theme="0" tint="-0.14999847407452621"/>
      </top>
      <bottom/>
      <diagonal/>
    </border>
    <border>
      <left style="thin">
        <color theme="0" tint="-0.34998626667073579"/>
      </left>
      <right style="dashed">
        <color rgb="FF44678E"/>
      </right>
      <top style="thin">
        <color theme="0" tint="-0.34998626667073579"/>
      </top>
      <bottom style="thin">
        <color theme="0" tint="-0.34998626667073579"/>
      </bottom>
      <diagonal/>
    </border>
    <border>
      <left style="thin">
        <color theme="0" tint="-0.14993743705557422"/>
      </left>
      <right style="dashed">
        <color rgb="FF44678E"/>
      </right>
      <top/>
      <bottom/>
      <diagonal/>
    </border>
    <border>
      <left style="thin">
        <color theme="0" tint="-0.14999847407452621"/>
      </left>
      <right style="dashed">
        <color rgb="FF44678E"/>
      </right>
      <top style="thin">
        <color theme="0" tint="-0.14999847407452621"/>
      </top>
      <bottom style="thin">
        <color theme="0" tint="-0.14999847407452621"/>
      </bottom>
      <diagonal/>
    </border>
    <border>
      <left style="dashed">
        <color rgb="FF44678E"/>
      </left>
      <right style="thin">
        <color theme="0" tint="-0.34998626667073579"/>
      </right>
      <top style="thin">
        <color theme="0" tint="-0.34998626667073579"/>
      </top>
      <bottom style="thin">
        <color theme="0" tint="-0.34998626667073579"/>
      </bottom>
      <diagonal/>
    </border>
    <border>
      <left style="dashed">
        <color rgb="FF44678E"/>
      </left>
      <right style="thin">
        <color theme="0" tint="-0.14993743705557422"/>
      </right>
      <top/>
      <bottom/>
      <diagonal/>
    </border>
    <border>
      <left style="dashed">
        <color rgb="FF44678E"/>
      </left>
      <right/>
      <top/>
      <bottom/>
      <diagonal/>
    </border>
    <border>
      <left style="dashed">
        <color rgb="FF44678E"/>
      </left>
      <right style="thin">
        <color theme="0" tint="-0.14999847407452621"/>
      </right>
      <top style="thin">
        <color theme="0" tint="-0.14999847407452621"/>
      </top>
      <bottom style="thin">
        <color theme="0" tint="-0.14999847407452621"/>
      </bottom>
      <diagonal/>
    </border>
    <border>
      <left style="dashed">
        <color rgb="FF44678E"/>
      </left>
      <right style="thin">
        <color theme="0" tint="-0.14999847407452621"/>
      </right>
      <top style="thin">
        <color theme="0" tint="-0.14999847407452621"/>
      </top>
      <bottom/>
      <diagonal/>
    </border>
    <border>
      <left style="dashed">
        <color rgb="FF44678E"/>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dashed">
        <color rgb="FF44678E"/>
      </right>
      <top style="thin">
        <color theme="0" tint="-0.14999847407452621"/>
      </top>
      <bottom style="thin">
        <color theme="0" tint="-0.14999847407452621"/>
      </bottom>
      <diagonal/>
    </border>
    <border>
      <left/>
      <right style="dashed">
        <color rgb="FF215881"/>
      </right>
      <top style="thin">
        <color theme="0" tint="-0.14999847407452621"/>
      </top>
      <bottom style="thin">
        <color theme="0" tint="-0.14999847407452621"/>
      </bottom>
      <diagonal/>
    </border>
    <border>
      <left style="dashed">
        <color rgb="FF215881"/>
      </left>
      <right/>
      <top style="thin">
        <color theme="0" tint="-0.14999847407452621"/>
      </top>
      <bottom style="thin">
        <color theme="0" tint="-0.1499984740745262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style="dashed">
        <color auto="1"/>
      </left>
      <right style="dashed">
        <color auto="1"/>
      </right>
      <top style="dashed">
        <color auto="1"/>
      </top>
      <bottom/>
      <diagonal/>
    </border>
    <border>
      <left/>
      <right/>
      <top style="dashed">
        <color auto="1"/>
      </top>
      <bottom/>
      <diagonal/>
    </border>
    <border>
      <left/>
      <right/>
      <top style="thin">
        <color auto="1"/>
      </top>
      <bottom style="thin">
        <color auto="1"/>
      </bottom>
      <diagonal/>
    </border>
    <border>
      <left/>
      <right/>
      <top style="thin">
        <color auto="1"/>
      </top>
      <bottom/>
      <diagonal/>
    </border>
    <border>
      <left/>
      <right style="dashed">
        <color auto="1"/>
      </right>
      <top/>
      <bottom/>
      <diagonal/>
    </border>
    <border>
      <left style="dashed">
        <color auto="1"/>
      </left>
      <right/>
      <top/>
      <bottom/>
      <diagonal/>
    </border>
    <border>
      <left style="hair">
        <color indexed="64"/>
      </left>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style="thin">
        <color auto="1"/>
      </bottom>
      <diagonal/>
    </border>
    <border>
      <left/>
      <right/>
      <top style="thin">
        <color auto="1"/>
      </top>
      <bottom style="thin">
        <color rgb="FFC0C0C0"/>
      </bottom>
      <diagonal/>
    </border>
    <border>
      <left style="dashed">
        <color rgb="FF215881"/>
      </left>
      <right/>
      <top style="thin">
        <color theme="0" tint="-0.14999847407452621"/>
      </top>
      <bottom/>
      <diagonal/>
    </border>
    <border>
      <left/>
      <right style="thin">
        <color rgb="FFC0C0C0"/>
      </right>
      <top style="thin">
        <color auto="1"/>
      </top>
      <bottom style="thin">
        <color rgb="FFC0C0C0"/>
      </bottom>
      <diagonal/>
    </border>
    <border>
      <left/>
      <right style="thin">
        <color rgb="FFC0C0C0"/>
      </right>
      <top style="thin">
        <color auto="1"/>
      </top>
      <bottom/>
      <diagonal/>
    </border>
    <border>
      <left/>
      <right style="thin">
        <color rgb="FFC0C0C0"/>
      </right>
      <top/>
      <bottom/>
      <diagonal/>
    </border>
    <border>
      <left/>
      <right style="thin">
        <color rgb="FFC0C0C0"/>
      </right>
      <top/>
      <bottom style="thin">
        <color auto="1"/>
      </bottom>
      <diagonal/>
    </border>
    <border>
      <left/>
      <right style="thin">
        <color rgb="FFC0C0C0"/>
      </right>
      <top style="thin">
        <color auto="1"/>
      </top>
      <bottom style="thin">
        <color auto="1"/>
      </bottom>
      <diagonal/>
    </border>
    <border>
      <left/>
      <right style="thin">
        <color rgb="FFC0C0C0"/>
      </right>
      <top/>
      <bottom style="thin">
        <color rgb="FF000000"/>
      </bottom>
      <diagonal/>
    </border>
    <border>
      <left/>
      <right style="thin">
        <color rgb="FFC0C0C0"/>
      </right>
      <top style="thin">
        <color rgb="FF000000"/>
      </top>
      <bottom style="thin">
        <color rgb="FF000000"/>
      </bottom>
      <diagonal/>
    </border>
    <border>
      <left/>
      <right style="thin">
        <color rgb="FFC0C0C0"/>
      </right>
      <top style="thin">
        <color rgb="FF000000"/>
      </top>
      <bottom/>
      <diagonal/>
    </border>
    <border>
      <left style="dashed">
        <color auto="1"/>
      </left>
      <right style="dashed">
        <color auto="1"/>
      </right>
      <top/>
      <bottom style="dashed">
        <color auto="1"/>
      </bottom>
      <diagonal/>
    </border>
    <border>
      <left style="thin">
        <color rgb="FFC0C0C0"/>
      </left>
      <right/>
      <top style="thin">
        <color auto="1"/>
      </top>
      <bottom/>
      <diagonal/>
    </border>
    <border>
      <left style="thin">
        <color rgb="FFC0C0C0"/>
      </left>
      <right/>
      <top/>
      <bottom style="thin">
        <color auto="1"/>
      </bottom>
      <diagonal/>
    </border>
    <border>
      <left style="thin">
        <color theme="0" tint="-0.34998626667073579"/>
      </left>
      <right style="thin">
        <color theme="0" tint="-0.14993743705557422"/>
      </right>
      <top style="thin">
        <color theme="0" tint="-0.34998626667073579"/>
      </top>
      <bottom/>
      <diagonal/>
    </border>
    <border>
      <left style="thin">
        <color theme="0" tint="-0.34998626667073579"/>
      </left>
      <right style="thin">
        <color theme="0" tint="-0.14999847407452621"/>
      </right>
      <top style="thin">
        <color theme="0" tint="-0.14999847407452621"/>
      </top>
      <bottom style="thin">
        <color theme="0" tint="-0.14999847407452621"/>
      </bottom>
      <diagonal/>
    </border>
    <border>
      <left style="thin">
        <color theme="0" tint="-0.14999847407452621"/>
      </left>
      <right style="dashed">
        <color auto="1"/>
      </right>
      <top style="thin">
        <color theme="0" tint="-0.14999847407452621"/>
      </top>
      <bottom style="thin">
        <color theme="0" tint="-0.14999847407452621"/>
      </bottom>
      <diagonal/>
    </border>
    <border>
      <left/>
      <right style="thin">
        <color theme="0" tint="-0.14996795556505021"/>
      </right>
      <top style="thin">
        <color auto="1"/>
      </top>
      <bottom/>
      <diagonal/>
    </border>
    <border>
      <left/>
      <right style="thin">
        <color theme="0" tint="-0.14996795556505021"/>
      </right>
      <top/>
      <bottom/>
      <diagonal/>
    </border>
    <border>
      <left style="thin">
        <color rgb="FFC0C0C0"/>
      </left>
      <right/>
      <top/>
      <bottom/>
      <diagonal/>
    </border>
    <border>
      <left style="thin">
        <color theme="0" tint="-0.14996795556505021"/>
      </left>
      <right/>
      <top/>
      <bottom/>
      <diagonal/>
    </border>
    <border>
      <left/>
      <right style="thin">
        <color theme="0" tint="-0.14996795556505021"/>
      </right>
      <top/>
      <bottom style="thin">
        <color auto="1"/>
      </bottom>
      <diagonal/>
    </border>
    <border>
      <left style="thin">
        <color indexed="64"/>
      </left>
      <right style="thin">
        <color indexed="64"/>
      </right>
      <top style="thin">
        <color indexed="64"/>
      </top>
      <bottom style="thin">
        <color indexed="64"/>
      </bottom>
      <diagonal/>
    </border>
    <border>
      <left/>
      <right/>
      <top/>
      <bottom style="thin">
        <color theme="0" tint="-0.14999847407452621"/>
      </bottom>
      <diagonal/>
    </border>
    <border>
      <left/>
      <right style="dashed">
        <color rgb="FF215881"/>
      </right>
      <top/>
      <bottom style="thin">
        <color theme="0" tint="-0.14999847407452621"/>
      </bottom>
      <diagonal/>
    </border>
  </borders>
  <cellStyleXfs count="11">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cellStyleXfs>
  <cellXfs count="265">
    <xf numFmtId="0" fontId="0" fillId="0" borderId="0" xfId="0"/>
    <xf numFmtId="0" fontId="0" fillId="0" borderId="0" xfId="0" applyAlignment="1">
      <alignment vertical="center"/>
    </xf>
    <xf numFmtId="0" fontId="7" fillId="0" borderId="0" xfId="3"/>
    <xf numFmtId="0" fontId="7" fillId="0" borderId="0" xfId="3" applyAlignment="1">
      <alignment wrapText="1"/>
    </xf>
    <xf numFmtId="0" fontId="0" fillId="0" borderId="3" xfId="0" applyBorder="1" applyAlignment="1">
      <alignment horizontal="center" vertical="center"/>
    </xf>
    <xf numFmtId="0" fontId="0" fillId="0" borderId="6" xfId="0" applyBorder="1" applyAlignment="1">
      <alignment vertical="center"/>
    </xf>
    <xf numFmtId="0" fontId="0" fillId="0" borderId="5" xfId="0" applyBorder="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xf numFmtId="0" fontId="9" fillId="0" borderId="0" xfId="0" applyFont="1" applyAlignment="1">
      <alignment vertical="center"/>
    </xf>
    <xf numFmtId="0" fontId="7" fillId="5" borderId="0" xfId="0" applyFont="1" applyFill="1"/>
    <xf numFmtId="164" fontId="1" fillId="6" borderId="7" xfId="0" applyNumberFormat="1" applyFont="1" applyFill="1" applyBorder="1" applyAlignment="1">
      <alignment horizontal="center" vertical="center"/>
    </xf>
    <xf numFmtId="164" fontId="1" fillId="6" borderId="4" xfId="0" applyNumberFormat="1" applyFont="1" applyFill="1" applyBorder="1" applyAlignment="1">
      <alignment horizontal="center" vertical="center"/>
    </xf>
    <xf numFmtId="164" fontId="1" fillId="6" borderId="2" xfId="0" applyNumberFormat="1" applyFont="1" applyFill="1" applyBorder="1" applyAlignment="1">
      <alignment horizontal="center" vertical="center"/>
    </xf>
    <xf numFmtId="164" fontId="1" fillId="6" borderId="0" xfId="0" applyNumberFormat="1" applyFont="1" applyFill="1" applyAlignment="1">
      <alignment horizontal="center" vertical="center"/>
    </xf>
    <xf numFmtId="164" fontId="1" fillId="6" borderId="9" xfId="0" applyNumberFormat="1" applyFont="1" applyFill="1" applyBorder="1" applyAlignment="1">
      <alignment horizontal="center" vertical="center"/>
    </xf>
    <xf numFmtId="164" fontId="1" fillId="6" borderId="10" xfId="0" applyNumberFormat="1" applyFont="1" applyFill="1" applyBorder="1" applyAlignment="1">
      <alignment horizontal="center" vertical="center"/>
    </xf>
    <xf numFmtId="0" fontId="1" fillId="6" borderId="1" xfId="0" applyFont="1" applyFill="1" applyBorder="1" applyAlignment="1">
      <alignment horizontal="center" vertical="center" shrinkToFit="1"/>
    </xf>
    <xf numFmtId="0" fontId="0" fillId="0" borderId="11" xfId="0" applyBorder="1" applyAlignment="1">
      <alignment horizontal="center" vertical="center"/>
    </xf>
    <xf numFmtId="0" fontId="0" fillId="3" borderId="0" xfId="0" applyFill="1" applyAlignment="1">
      <alignment horizontal="center" vertical="center"/>
    </xf>
    <xf numFmtId="0" fontId="12" fillId="0" borderId="0" xfId="6" applyFont="1" applyFill="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xf numFmtId="0" fontId="12" fillId="0" borderId="0" xfId="5" applyFont="1" applyFill="1" applyBorder="1" applyAlignment="1">
      <alignment vertical="center"/>
    </xf>
    <xf numFmtId="0" fontId="13" fillId="0" borderId="0" xfId="8" applyFont="1" applyFill="1" applyAlignment="1">
      <alignment vertical="center"/>
    </xf>
    <xf numFmtId="0" fontId="14" fillId="0" borderId="0" xfId="0" applyFont="1" applyAlignment="1">
      <alignment horizontal="center"/>
    </xf>
    <xf numFmtId="0" fontId="13" fillId="0" borderId="0" xfId="0" applyFont="1" applyAlignment="1">
      <alignment horizontal="center" vertical="center"/>
    </xf>
    <xf numFmtId="0" fontId="13" fillId="0" borderId="0" xfId="0" applyFont="1" applyAlignment="1">
      <alignment horizontal="left" vertical="center" indent="2"/>
    </xf>
    <xf numFmtId="0" fontId="13" fillId="0" borderId="0" xfId="0" applyFont="1"/>
    <xf numFmtId="0" fontId="13" fillId="0" borderId="0" xfId="0" applyFont="1" applyAlignment="1">
      <alignment horizontal="center"/>
    </xf>
    <xf numFmtId="14" fontId="13" fillId="0" borderId="0" xfId="9" applyFont="1" applyFill="1" applyBorder="1" applyAlignment="1">
      <alignment horizontal="left" vertical="center" indent="2"/>
    </xf>
    <xf numFmtId="0" fontId="0" fillId="0" borderId="12" xfId="0" applyBorder="1" applyAlignment="1">
      <alignment horizontal="center" vertical="center"/>
    </xf>
    <xf numFmtId="0" fontId="0" fillId="0" borderId="13" xfId="0" applyBorder="1" applyAlignment="1">
      <alignment horizontal="center" vertical="center"/>
    </xf>
    <xf numFmtId="164" fontId="1" fillId="6" borderId="14" xfId="0" applyNumberFormat="1" applyFont="1" applyFill="1" applyBorder="1" applyAlignment="1">
      <alignment horizontal="center" vertical="center"/>
    </xf>
    <xf numFmtId="164" fontId="1" fillId="6" borderId="15" xfId="0" applyNumberFormat="1" applyFont="1" applyFill="1" applyBorder="1" applyAlignment="1">
      <alignment horizontal="center" vertical="center"/>
    </xf>
    <xf numFmtId="0" fontId="1" fillId="6" borderId="16" xfId="0" applyFont="1" applyFill="1" applyBorder="1" applyAlignment="1">
      <alignment horizontal="center" vertical="center" shrinkToFit="1"/>
    </xf>
    <xf numFmtId="0" fontId="0" fillId="0" borderId="17" xfId="0" applyBorder="1" applyAlignment="1">
      <alignment vertical="center"/>
    </xf>
    <xf numFmtId="0" fontId="0" fillId="0" borderId="18" xfId="0" applyBorder="1" applyAlignment="1">
      <alignment horizontal="center" vertical="center"/>
    </xf>
    <xf numFmtId="0" fontId="1" fillId="6" borderId="19" xfId="0" applyFont="1" applyFill="1" applyBorder="1" applyAlignment="1">
      <alignment horizontal="center" vertical="center" shrinkToFit="1"/>
    </xf>
    <xf numFmtId="0" fontId="0" fillId="0" borderId="20" xfId="0" applyBorder="1" applyAlignment="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1" fillId="6" borderId="23" xfId="0" applyFont="1" applyFill="1" applyBorder="1" applyAlignment="1">
      <alignment horizontal="center" vertical="center" shrinkToFit="1"/>
    </xf>
    <xf numFmtId="0" fontId="0" fillId="0" borderId="24" xfId="0" applyBorder="1" applyAlignment="1">
      <alignment vertical="center"/>
    </xf>
    <xf numFmtId="0" fontId="0" fillId="0" borderId="25" xfId="0" applyBorder="1" applyAlignment="1">
      <alignment horizontal="center" vertical="center"/>
    </xf>
    <xf numFmtId="0" fontId="0" fillId="0" borderId="26" xfId="0" applyBorder="1" applyAlignment="1">
      <alignment horizontal="center" vertical="center"/>
    </xf>
    <xf numFmtId="0" fontId="1" fillId="6" borderId="27" xfId="0" applyFont="1" applyFill="1" applyBorder="1" applyAlignment="1">
      <alignment horizontal="center" vertical="center" shrinkToFit="1"/>
    </xf>
    <xf numFmtId="0" fontId="0" fillId="0" borderId="28" xfId="0" applyBorder="1" applyAlignment="1">
      <alignment vertical="center"/>
    </xf>
    <xf numFmtId="0" fontId="0" fillId="0" borderId="29" xfId="0" applyBorder="1" applyAlignment="1">
      <alignment horizontal="center" vertical="center"/>
    </xf>
    <xf numFmtId="0" fontId="1" fillId="6" borderId="30" xfId="0" applyFont="1" applyFill="1" applyBorder="1" applyAlignment="1">
      <alignment horizontal="center" vertical="center" shrinkToFit="1"/>
    </xf>
    <xf numFmtId="0" fontId="0" fillId="0" borderId="31" xfId="0" applyBorder="1" applyAlignment="1">
      <alignment vertical="center"/>
    </xf>
    <xf numFmtId="0" fontId="0" fillId="3" borderId="32" xfId="0" applyFill="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3" borderId="11" xfId="0" applyFill="1" applyBorder="1" applyAlignment="1">
      <alignment horizontal="center" vertical="center"/>
    </xf>
    <xf numFmtId="0" fontId="0" fillId="3" borderId="36" xfId="0" applyFill="1" applyBorder="1" applyAlignment="1">
      <alignment horizontal="center" vertical="center"/>
    </xf>
    <xf numFmtId="0" fontId="0" fillId="3" borderId="37" xfId="0" applyFill="1" applyBorder="1" applyAlignment="1">
      <alignment horizontal="center" vertical="center"/>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0" fillId="4" borderId="36" xfId="0" applyFill="1" applyBorder="1" applyAlignment="1">
      <alignment horizontal="center" vertical="center"/>
    </xf>
    <xf numFmtId="0" fontId="0" fillId="4" borderId="37" xfId="0" applyFill="1" applyBorder="1" applyAlignment="1">
      <alignment horizontal="center" vertical="center"/>
    </xf>
    <xf numFmtId="0" fontId="0" fillId="8" borderId="35" xfId="0" applyFill="1" applyBorder="1" applyAlignment="1">
      <alignment horizontal="center" vertical="center"/>
    </xf>
    <xf numFmtId="0" fontId="0" fillId="8" borderId="36" xfId="0" applyFill="1" applyBorder="1" applyAlignment="1">
      <alignment horizontal="center" vertical="center"/>
    </xf>
    <xf numFmtId="0" fontId="0" fillId="8" borderId="37" xfId="0" applyFill="1" applyBorder="1" applyAlignment="1">
      <alignment horizontal="center" vertical="center"/>
    </xf>
    <xf numFmtId="0" fontId="0" fillId="0" borderId="38" xfId="0" applyBorder="1" applyAlignment="1">
      <alignment horizontal="center" vertical="center"/>
    </xf>
    <xf numFmtId="0" fontId="13" fillId="0" borderId="0" xfId="8" applyFont="1" applyFill="1" applyAlignment="1">
      <alignment horizontal="center" vertical="center"/>
    </xf>
    <xf numFmtId="0" fontId="15" fillId="5" borderId="41" xfId="0" applyFont="1" applyFill="1" applyBorder="1" applyAlignment="1">
      <alignment horizontal="center" vertical="center"/>
    </xf>
    <xf numFmtId="0" fontId="15" fillId="5" borderId="41" xfId="0" applyFont="1" applyFill="1" applyBorder="1" applyAlignment="1">
      <alignment horizontal="center" vertical="center" wrapText="1"/>
    </xf>
    <xf numFmtId="0" fontId="15" fillId="5" borderId="42" xfId="0" applyFont="1" applyFill="1" applyBorder="1" applyAlignment="1">
      <alignment horizontal="center" vertical="center" wrapText="1"/>
    </xf>
    <xf numFmtId="0" fontId="14" fillId="2" borderId="0" xfId="0" applyFont="1" applyFill="1" applyAlignment="1">
      <alignment wrapText="1"/>
    </xf>
    <xf numFmtId="0" fontId="13" fillId="2" borderId="43" xfId="0" applyFont="1" applyFill="1" applyBorder="1" applyAlignment="1">
      <alignment wrapText="1"/>
    </xf>
    <xf numFmtId="0" fontId="13" fillId="2" borderId="43" xfId="0" applyFont="1" applyFill="1" applyBorder="1" applyAlignment="1">
      <alignment horizontal="center" vertical="center" wrapText="1"/>
    </xf>
    <xf numFmtId="9" fontId="13" fillId="2" borderId="43" xfId="2" applyFont="1" applyFill="1" applyBorder="1">
      <alignment horizontal="center" vertical="center"/>
    </xf>
    <xf numFmtId="14" fontId="13" fillId="2" borderId="43" xfId="9" applyFont="1" applyFill="1" applyBorder="1">
      <alignment horizontal="center" vertical="center"/>
    </xf>
    <xf numFmtId="37" fontId="13" fillId="2" borderId="43" xfId="10" applyFont="1" applyFill="1" applyBorder="1">
      <alignment horizontal="center" vertical="center"/>
    </xf>
    <xf numFmtId="0" fontId="13" fillId="2" borderId="0" xfId="0" applyFont="1" applyFill="1" applyAlignment="1">
      <alignment vertical="center"/>
    </xf>
    <xf numFmtId="0" fontId="13" fillId="2" borderId="0" xfId="0" applyFont="1" applyFill="1" applyAlignment="1">
      <alignment horizontal="center" vertical="center"/>
    </xf>
    <xf numFmtId="0" fontId="13" fillId="0" borderId="0" xfId="0" applyFont="1" applyAlignment="1">
      <alignment vertical="center" wrapText="1"/>
    </xf>
    <xf numFmtId="0" fontId="13" fillId="9" borderId="0" xfId="0" applyFont="1" applyFill="1" applyAlignment="1">
      <alignment vertical="center"/>
    </xf>
    <xf numFmtId="0" fontId="12" fillId="10" borderId="44" xfId="0" applyFont="1" applyFill="1" applyBorder="1" applyAlignment="1">
      <alignment vertical="center" wrapText="1"/>
    </xf>
    <xf numFmtId="0" fontId="13" fillId="10" borderId="44" xfId="0" applyFont="1" applyFill="1" applyBorder="1" applyAlignment="1">
      <alignment horizontal="center" vertical="center"/>
    </xf>
    <xf numFmtId="14" fontId="13" fillId="10" borderId="44" xfId="9" applyFont="1" applyFill="1" applyBorder="1">
      <alignment horizontal="center" vertical="center"/>
    </xf>
    <xf numFmtId="37" fontId="13" fillId="10" borderId="44" xfId="10" applyFont="1" applyFill="1" applyBorder="1">
      <alignment horizontal="center" vertical="center"/>
    </xf>
    <xf numFmtId="0" fontId="12" fillId="10" borderId="45" xfId="0" applyFont="1" applyFill="1" applyBorder="1" applyAlignment="1">
      <alignment horizontal="center" vertical="center" wrapText="1"/>
    </xf>
    <xf numFmtId="0" fontId="13" fillId="2" borderId="0" xfId="0" applyFont="1" applyFill="1" applyAlignment="1">
      <alignment horizontal="left" vertical="center"/>
    </xf>
    <xf numFmtId="0" fontId="17" fillId="10" borderId="44" xfId="0" applyFont="1" applyFill="1" applyBorder="1" applyAlignment="1">
      <alignment vertical="center"/>
    </xf>
    <xf numFmtId="0" fontId="13" fillId="9" borderId="0" xfId="0" applyFont="1" applyFill="1" applyAlignment="1">
      <alignment wrapText="1"/>
    </xf>
    <xf numFmtId="0" fontId="12" fillId="10" borderId="49" xfId="0" applyFont="1" applyFill="1" applyBorder="1" applyAlignment="1">
      <alignment vertical="center" wrapText="1"/>
    </xf>
    <xf numFmtId="0" fontId="12" fillId="9" borderId="0" xfId="0" applyFont="1" applyFill="1" applyAlignment="1">
      <alignment vertical="center" wrapText="1"/>
    </xf>
    <xf numFmtId="0" fontId="13" fillId="2" borderId="0" xfId="0" applyFont="1" applyFill="1" applyAlignment="1">
      <alignment horizontal="left" vertical="center" wrapText="1"/>
    </xf>
    <xf numFmtId="0" fontId="13" fillId="9" borderId="0" xfId="0" applyFont="1" applyFill="1" applyAlignment="1">
      <alignment horizontal="left" vertical="center" wrapText="1"/>
    </xf>
    <xf numFmtId="0" fontId="13" fillId="6" borderId="44" xfId="0" applyFont="1" applyFill="1" applyBorder="1" applyAlignment="1">
      <alignment wrapText="1"/>
    </xf>
    <xf numFmtId="0" fontId="12" fillId="10" borderId="44" xfId="0" applyFont="1" applyFill="1" applyBorder="1" applyAlignment="1">
      <alignment horizontal="center" vertical="center" wrapText="1"/>
    </xf>
    <xf numFmtId="0" fontId="17" fillId="10" borderId="48" xfId="0" applyFont="1" applyFill="1" applyBorder="1" applyAlignment="1">
      <alignment horizontal="center" vertical="center"/>
    </xf>
    <xf numFmtId="0" fontId="12" fillId="10" borderId="49" xfId="0" applyFont="1" applyFill="1" applyBorder="1" applyAlignment="1">
      <alignment horizontal="center" vertical="center" wrapText="1"/>
    </xf>
    <xf numFmtId="0" fontId="13" fillId="6" borderId="44" xfId="0" applyFont="1" applyFill="1" applyBorder="1" applyAlignment="1">
      <alignment horizontal="center" vertical="center" wrapText="1"/>
    </xf>
    <xf numFmtId="9" fontId="12" fillId="10" borderId="44" xfId="2" applyFont="1" applyFill="1" applyBorder="1">
      <alignment horizontal="center" vertical="center"/>
    </xf>
    <xf numFmtId="0" fontId="17" fillId="9" borderId="0" xfId="0" applyFont="1" applyFill="1" applyAlignment="1">
      <alignment vertical="center"/>
    </xf>
    <xf numFmtId="0" fontId="13" fillId="9" borderId="0" xfId="0" applyFont="1" applyFill="1" applyAlignment="1">
      <alignment horizontal="left" vertical="center"/>
    </xf>
    <xf numFmtId="0" fontId="12" fillId="0" borderId="0" xfId="5" applyFont="1" applyFill="1" applyBorder="1" applyAlignment="1">
      <alignment horizontal="left" vertical="center"/>
    </xf>
    <xf numFmtId="0" fontId="12" fillId="0" borderId="0" xfId="6" applyFont="1" applyFill="1" applyAlignment="1">
      <alignment horizontal="left" vertical="center"/>
    </xf>
    <xf numFmtId="0" fontId="12" fillId="0" borderId="0" xfId="0" applyFont="1" applyAlignment="1">
      <alignment horizontal="left" vertical="center"/>
    </xf>
    <xf numFmtId="0" fontId="13" fillId="0" borderId="0" xfId="8" applyFont="1" applyFill="1" applyAlignment="1">
      <alignment horizontal="left" vertical="center"/>
    </xf>
    <xf numFmtId="0" fontId="12" fillId="10" borderId="44" xfId="0" applyFont="1" applyFill="1" applyBorder="1" applyAlignment="1">
      <alignment horizontal="left" vertical="center" wrapText="1"/>
    </xf>
    <xf numFmtId="0" fontId="13" fillId="11" borderId="0" xfId="0" applyFont="1" applyFill="1" applyAlignment="1">
      <alignment horizontal="left" vertical="center"/>
    </xf>
    <xf numFmtId="0" fontId="13" fillId="0" borderId="0" xfId="0" applyFont="1" applyAlignment="1">
      <alignment horizontal="left" vertical="center"/>
    </xf>
    <xf numFmtId="0" fontId="14" fillId="2" borderId="0" xfId="0" applyFont="1" applyFill="1" applyAlignment="1">
      <alignment horizontal="left" vertical="center"/>
    </xf>
    <xf numFmtId="0" fontId="17" fillId="10" borderId="44" xfId="0" applyFont="1" applyFill="1" applyBorder="1" applyAlignment="1">
      <alignment horizontal="left" vertical="center"/>
    </xf>
    <xf numFmtId="0" fontId="12" fillId="10" borderId="49" xfId="0" applyFont="1" applyFill="1" applyBorder="1" applyAlignment="1">
      <alignment horizontal="left" vertical="center" wrapText="1"/>
    </xf>
    <xf numFmtId="0" fontId="14" fillId="0" borderId="0" xfId="0" applyFont="1" applyAlignment="1">
      <alignment horizontal="left" vertical="center"/>
    </xf>
    <xf numFmtId="0" fontId="14" fillId="2" borderId="0" xfId="0" applyFont="1" applyFill="1" applyAlignment="1">
      <alignment horizontal="left" vertical="center" wrapText="1"/>
    </xf>
    <xf numFmtId="0" fontId="13" fillId="6" borderId="44" xfId="0" applyFont="1" applyFill="1" applyBorder="1" applyAlignment="1">
      <alignment horizontal="left" vertical="center" wrapText="1"/>
    </xf>
    <xf numFmtId="0" fontId="13" fillId="0" borderId="45" xfId="0" applyFont="1" applyBorder="1" applyAlignment="1">
      <alignment vertical="center"/>
    </xf>
    <xf numFmtId="0" fontId="13" fillId="0" borderId="45" xfId="0" applyFont="1" applyBorder="1" applyAlignment="1">
      <alignment vertical="center" wrapText="1"/>
    </xf>
    <xf numFmtId="0" fontId="0" fillId="0" borderId="45" xfId="0"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9" borderId="0" xfId="0" applyFill="1" applyAlignment="1">
      <alignment horizontal="center" vertical="center"/>
    </xf>
    <xf numFmtId="0" fontId="12" fillId="2" borderId="0" xfId="0" applyFont="1" applyFill="1" applyAlignment="1">
      <alignment vertical="center" wrapText="1"/>
    </xf>
    <xf numFmtId="0" fontId="13" fillId="9" borderId="53" xfId="0" applyFont="1" applyFill="1" applyBorder="1" applyAlignment="1">
      <alignment horizontal="left" vertical="center"/>
    </xf>
    <xf numFmtId="0" fontId="13" fillId="9" borderId="53" xfId="0" applyFont="1" applyFill="1" applyBorder="1" applyAlignment="1">
      <alignment vertical="center"/>
    </xf>
    <xf numFmtId="0" fontId="0" fillId="9" borderId="53" xfId="0" applyFill="1" applyBorder="1" applyAlignment="1">
      <alignment horizontal="center" vertical="center"/>
    </xf>
    <xf numFmtId="0" fontId="0" fillId="4" borderId="12" xfId="0" applyFill="1" applyBorder="1" applyAlignment="1">
      <alignment horizontal="center" vertical="center"/>
    </xf>
    <xf numFmtId="0" fontId="0" fillId="13" borderId="0" xfId="0" applyFill="1" applyAlignment="1">
      <alignment horizontal="center" vertical="center"/>
    </xf>
    <xf numFmtId="0" fontId="0" fillId="13" borderId="54" xfId="0" applyFill="1" applyBorder="1" applyAlignment="1">
      <alignment horizontal="center" vertical="center"/>
    </xf>
    <xf numFmtId="0" fontId="0" fillId="4" borderId="11" xfId="0" applyFill="1" applyBorder="1" applyAlignment="1">
      <alignment horizontal="center" vertical="center"/>
    </xf>
    <xf numFmtId="0" fontId="0" fillId="13" borderId="12" xfId="0" applyFill="1" applyBorder="1" applyAlignment="1">
      <alignment horizontal="center" vertical="center"/>
    </xf>
    <xf numFmtId="0" fontId="0" fillId="13" borderId="36" xfId="0" applyFill="1" applyBorder="1" applyAlignment="1">
      <alignment horizontal="center" vertical="center"/>
    </xf>
    <xf numFmtId="0" fontId="0" fillId="3" borderId="12" xfId="0" applyFill="1" applyBorder="1" applyAlignment="1">
      <alignment horizontal="center" vertical="center"/>
    </xf>
    <xf numFmtId="0" fontId="13" fillId="10" borderId="59" xfId="0" applyFont="1" applyFill="1" applyBorder="1" applyAlignment="1">
      <alignment horizontal="center" vertical="center"/>
    </xf>
    <xf numFmtId="0" fontId="17" fillId="10" borderId="59" xfId="0" applyFont="1" applyFill="1" applyBorder="1" applyAlignment="1">
      <alignment horizontal="center" vertical="center" wrapText="1"/>
    </xf>
    <xf numFmtId="0" fontId="13" fillId="10" borderId="61" xfId="0" applyFont="1" applyFill="1" applyBorder="1" applyAlignment="1">
      <alignment horizontal="center" vertical="center"/>
    </xf>
    <xf numFmtId="0" fontId="13" fillId="6" borderId="59" xfId="0" applyFont="1" applyFill="1" applyBorder="1" applyAlignment="1">
      <alignment horizontal="center" vertical="center"/>
    </xf>
    <xf numFmtId="0" fontId="0" fillId="4" borderId="39" xfId="0" applyFill="1" applyBorder="1" applyAlignment="1">
      <alignment horizontal="center" vertical="center"/>
    </xf>
    <xf numFmtId="0" fontId="12" fillId="10" borderId="50" xfId="0" applyFont="1" applyFill="1" applyBorder="1" applyAlignment="1">
      <alignment horizontal="center" vertical="center" wrapText="1"/>
    </xf>
    <xf numFmtId="0" fontId="12" fillId="6" borderId="44" xfId="0" applyFont="1" applyFill="1" applyBorder="1" applyAlignment="1">
      <alignment horizontal="center" vertical="center" wrapText="1"/>
    </xf>
    <xf numFmtId="0" fontId="13" fillId="6" borderId="44" xfId="0" applyFont="1" applyFill="1" applyBorder="1" applyAlignment="1">
      <alignment horizontal="left" vertical="center"/>
    </xf>
    <xf numFmtId="0" fontId="13" fillId="6" borderId="44" xfId="0" applyFont="1" applyFill="1" applyBorder="1" applyAlignment="1">
      <alignment vertical="center"/>
    </xf>
    <xf numFmtId="0" fontId="0" fillId="6" borderId="44" xfId="0" applyFill="1" applyBorder="1" applyAlignment="1">
      <alignment horizontal="center" vertical="center"/>
    </xf>
    <xf numFmtId="0" fontId="13" fillId="6" borderId="44" xfId="0" applyFont="1" applyFill="1" applyBorder="1" applyAlignment="1">
      <alignment horizontal="center" vertical="center"/>
    </xf>
    <xf numFmtId="0" fontId="0" fillId="0" borderId="66" xfId="0" applyBorder="1" applyAlignment="1">
      <alignment vertical="center"/>
    </xf>
    <xf numFmtId="0" fontId="0" fillId="0" borderId="67" xfId="0" applyBorder="1" applyAlignment="1">
      <alignment horizontal="center" vertical="center"/>
    </xf>
    <xf numFmtId="0" fontId="13" fillId="2" borderId="0" xfId="0" applyFont="1" applyFill="1" applyAlignment="1">
      <alignment vertical="center" wrapText="1"/>
    </xf>
    <xf numFmtId="0" fontId="0" fillId="2" borderId="45" xfId="0" applyFill="1" applyBorder="1" applyAlignment="1">
      <alignment horizontal="center" vertical="center"/>
    </xf>
    <xf numFmtId="0" fontId="13" fillId="9" borderId="0" xfId="0" applyFont="1" applyFill="1" applyAlignment="1">
      <alignment horizontal="center" vertical="center"/>
    </xf>
    <xf numFmtId="0" fontId="0" fillId="9" borderId="0" xfId="0" applyFill="1" applyAlignment="1">
      <alignment vertical="center"/>
    </xf>
    <xf numFmtId="0" fontId="14" fillId="9" borderId="0" xfId="0" applyFont="1" applyFill="1" applyAlignment="1">
      <alignment horizontal="left" vertical="center" wrapText="1"/>
    </xf>
    <xf numFmtId="14" fontId="13" fillId="2" borderId="55" xfId="9" applyFont="1" applyFill="1" applyBorder="1">
      <alignment horizontal="center" vertical="center"/>
    </xf>
    <xf numFmtId="0" fontId="0" fillId="0" borderId="68" xfId="0" applyBorder="1" applyAlignment="1">
      <alignment horizontal="center" vertical="center"/>
    </xf>
    <xf numFmtId="0" fontId="19" fillId="2" borderId="62" xfId="0" applyFont="1" applyFill="1" applyBorder="1" applyAlignment="1">
      <alignment horizontal="center" vertical="center" wrapText="1"/>
    </xf>
    <xf numFmtId="0" fontId="13" fillId="9" borderId="45" xfId="0" applyFont="1" applyFill="1" applyBorder="1" applyAlignment="1">
      <alignment horizontal="left" vertical="center"/>
    </xf>
    <xf numFmtId="0" fontId="0" fillId="9" borderId="45" xfId="0" applyFill="1" applyBorder="1" applyAlignment="1">
      <alignment horizontal="center" vertical="center"/>
    </xf>
    <xf numFmtId="0" fontId="13" fillId="9" borderId="45" xfId="0" applyFont="1" applyFill="1" applyBorder="1" applyAlignment="1">
      <alignment vertical="center"/>
    </xf>
    <xf numFmtId="14" fontId="13" fillId="2" borderId="56" xfId="9" applyFont="1" applyFill="1" applyBorder="1">
      <alignment horizontal="center" vertical="center"/>
    </xf>
    <xf numFmtId="14" fontId="13" fillId="2" borderId="57" xfId="9" applyFont="1" applyFill="1" applyBorder="1" applyAlignment="1">
      <alignment vertical="center"/>
    </xf>
    <xf numFmtId="14" fontId="13" fillId="2" borderId="58" xfId="9" applyFont="1" applyFill="1" applyBorder="1" applyAlignment="1">
      <alignment vertical="center"/>
    </xf>
    <xf numFmtId="0" fontId="13" fillId="9" borderId="45" xfId="0" applyFont="1" applyFill="1" applyBorder="1" applyAlignment="1">
      <alignment horizontal="left" vertical="center" wrapText="1"/>
    </xf>
    <xf numFmtId="0" fontId="13" fillId="2" borderId="45" xfId="0" applyFont="1" applyFill="1" applyBorder="1" applyAlignment="1">
      <alignment vertical="center"/>
    </xf>
    <xf numFmtId="0" fontId="14" fillId="0" borderId="45" xfId="0" applyFont="1" applyBorder="1"/>
    <xf numFmtId="0" fontId="14" fillId="2" borderId="0" xfId="0" applyFont="1" applyFill="1"/>
    <xf numFmtId="0" fontId="14" fillId="2" borderId="52" xfId="0" applyFont="1" applyFill="1" applyBorder="1"/>
    <xf numFmtId="0" fontId="14" fillId="0" borderId="70" xfId="0" applyFont="1" applyBorder="1"/>
    <xf numFmtId="14" fontId="13" fillId="9" borderId="45" xfId="0" applyNumberFormat="1" applyFont="1" applyFill="1" applyBorder="1" applyAlignment="1">
      <alignment horizontal="center" vertical="center"/>
    </xf>
    <xf numFmtId="0" fontId="0" fillId="13" borderId="35" xfId="0" applyFill="1" applyBorder="1" applyAlignment="1">
      <alignment horizontal="center" vertical="center"/>
    </xf>
    <xf numFmtId="0" fontId="0" fillId="13" borderId="37" xfId="0" applyFill="1" applyBorder="1" applyAlignment="1">
      <alignment horizontal="center" vertical="center"/>
    </xf>
    <xf numFmtId="0" fontId="13" fillId="2" borderId="45" xfId="0" applyFont="1" applyFill="1" applyBorder="1" applyAlignment="1">
      <alignment horizontal="left" vertical="center" wrapText="1"/>
    </xf>
    <xf numFmtId="14" fontId="13" fillId="2" borderId="57" xfId="9" applyFont="1" applyFill="1" applyBorder="1">
      <alignment horizontal="center" vertical="center"/>
    </xf>
    <xf numFmtId="14" fontId="13" fillId="2" borderId="71" xfId="0" applyNumberFormat="1" applyFont="1" applyFill="1" applyBorder="1" applyAlignment="1">
      <alignment horizontal="center" vertical="center"/>
    </xf>
    <xf numFmtId="0" fontId="0" fillId="3" borderId="35" xfId="0" applyFill="1" applyBorder="1" applyAlignment="1">
      <alignment horizontal="center" vertical="center"/>
    </xf>
    <xf numFmtId="14" fontId="13" fillId="9" borderId="71" xfId="0" applyNumberFormat="1" applyFont="1" applyFill="1" applyBorder="1" applyAlignment="1">
      <alignment horizontal="center" vertical="center"/>
    </xf>
    <xf numFmtId="14" fontId="13" fillId="2" borderId="65" xfId="0" applyNumberFormat="1" applyFont="1" applyFill="1" applyBorder="1" applyAlignment="1">
      <alignment horizontal="center" vertical="center"/>
    </xf>
    <xf numFmtId="0" fontId="13" fillId="9" borderId="52" xfId="0" applyFont="1" applyFill="1" applyBorder="1" applyAlignment="1">
      <alignment horizontal="left" vertical="center" wrapText="1"/>
    </xf>
    <xf numFmtId="0" fontId="0" fillId="9" borderId="52" xfId="0" applyFill="1" applyBorder="1" applyAlignment="1">
      <alignment horizontal="center" vertical="center"/>
    </xf>
    <xf numFmtId="0" fontId="13" fillId="9" borderId="52" xfId="0" applyFont="1" applyFill="1" applyBorder="1" applyAlignment="1">
      <alignment vertical="center"/>
    </xf>
    <xf numFmtId="14" fontId="13" fillId="2" borderId="0" xfId="0" applyNumberFormat="1" applyFont="1" applyFill="1" applyAlignment="1">
      <alignment horizontal="center" vertical="center"/>
    </xf>
    <xf numFmtId="14" fontId="13" fillId="9" borderId="52" xfId="0" applyNumberFormat="1" applyFont="1" applyFill="1" applyBorder="1" applyAlignment="1">
      <alignment horizontal="center" vertical="center"/>
    </xf>
    <xf numFmtId="0" fontId="14" fillId="2" borderId="52" xfId="0" applyFont="1" applyFill="1" applyBorder="1" applyAlignment="1">
      <alignment horizontal="left" vertical="center" wrapText="1"/>
    </xf>
    <xf numFmtId="0" fontId="0" fillId="2" borderId="52" xfId="0" applyFill="1" applyBorder="1" applyAlignment="1">
      <alignment horizontal="center" vertical="center"/>
    </xf>
    <xf numFmtId="14" fontId="13" fillId="9" borderId="0" xfId="0" applyNumberFormat="1" applyFont="1" applyFill="1" applyAlignment="1">
      <alignment horizontal="center" vertical="center"/>
    </xf>
    <xf numFmtId="0" fontId="14" fillId="0" borderId="0" xfId="0" applyFont="1" applyAlignment="1">
      <alignment horizontal="left" vertical="top" wrapText="1"/>
    </xf>
    <xf numFmtId="14" fontId="13" fillId="2" borderId="0" xfId="9" applyFont="1" applyFill="1" applyBorder="1">
      <alignment horizontal="center" vertical="center"/>
    </xf>
    <xf numFmtId="37" fontId="13" fillId="2" borderId="0" xfId="10" applyFont="1" applyFill="1" applyBorder="1">
      <alignment horizontal="center" vertical="center"/>
    </xf>
    <xf numFmtId="0" fontId="0" fillId="4" borderId="38" xfId="0" applyFill="1" applyBorder="1" applyAlignment="1">
      <alignment horizontal="center" vertical="center"/>
    </xf>
    <xf numFmtId="0" fontId="0" fillId="8" borderId="39" xfId="0" applyFill="1" applyBorder="1" applyAlignment="1">
      <alignment horizontal="center" vertical="center"/>
    </xf>
    <xf numFmtId="0" fontId="13" fillId="11" borderId="45" xfId="0" applyFont="1" applyFill="1" applyBorder="1" applyAlignment="1">
      <alignment horizontal="left" vertical="center" wrapText="1"/>
    </xf>
    <xf numFmtId="14" fontId="13" fillId="9" borderId="52" xfId="9" applyFont="1" applyFill="1" applyBorder="1">
      <alignment horizontal="center" vertical="center"/>
    </xf>
    <xf numFmtId="14" fontId="13" fillId="0" borderId="0" xfId="9" applyFont="1" applyBorder="1">
      <alignment horizontal="center" vertical="center"/>
    </xf>
    <xf numFmtId="14" fontId="13" fillId="9" borderId="0" xfId="9" applyFont="1" applyFill="1" applyBorder="1">
      <alignment horizontal="center" vertical="center"/>
    </xf>
    <xf numFmtId="37" fontId="13" fillId="9" borderId="0" xfId="10" applyFont="1" applyFill="1" applyBorder="1">
      <alignment horizontal="center" vertical="center"/>
    </xf>
    <xf numFmtId="37" fontId="13" fillId="0" borderId="0" xfId="10" applyFont="1" applyBorder="1">
      <alignment horizontal="center" vertical="center"/>
    </xf>
    <xf numFmtId="14" fontId="13" fillId="6" borderId="44" xfId="0" applyNumberFormat="1" applyFont="1" applyFill="1" applyBorder="1" applyAlignment="1">
      <alignment horizontal="center" vertical="center"/>
    </xf>
    <xf numFmtId="14" fontId="14" fillId="2" borderId="0" xfId="9" applyFont="1" applyFill="1" applyBorder="1">
      <alignment horizontal="center" vertical="center"/>
    </xf>
    <xf numFmtId="37" fontId="14" fillId="2" borderId="0" xfId="10" applyFont="1" applyFill="1" applyBorder="1">
      <alignment horizontal="center" vertical="center"/>
    </xf>
    <xf numFmtId="14" fontId="17" fillId="10" borderId="44" xfId="9" applyFont="1" applyFill="1" applyBorder="1">
      <alignment horizontal="center" vertical="center"/>
    </xf>
    <xf numFmtId="37" fontId="17" fillId="10" borderId="44" xfId="10" applyFont="1" applyFill="1" applyBorder="1">
      <alignment horizontal="center" vertical="center"/>
    </xf>
    <xf numFmtId="14" fontId="14" fillId="9" borderId="0" xfId="9" applyFont="1" applyFill="1" applyBorder="1">
      <alignment horizontal="center" vertical="center"/>
    </xf>
    <xf numFmtId="37" fontId="14" fillId="9" borderId="0" xfId="10" applyFont="1" applyFill="1" applyBorder="1">
      <alignment horizontal="center" vertical="center"/>
    </xf>
    <xf numFmtId="14" fontId="13" fillId="10" borderId="49" xfId="9" applyFont="1" applyFill="1" applyBorder="1">
      <alignment horizontal="center" vertical="center"/>
    </xf>
    <xf numFmtId="37" fontId="13" fillId="10" borderId="49" xfId="10" applyFont="1" applyFill="1" applyBorder="1">
      <alignment horizontal="center" vertical="center"/>
    </xf>
    <xf numFmtId="14" fontId="13" fillId="6" borderId="44" xfId="9" applyFont="1" applyFill="1" applyBorder="1">
      <alignment horizontal="center" vertical="center"/>
    </xf>
    <xf numFmtId="37" fontId="13" fillId="6" borderId="44" xfId="10" applyFont="1" applyFill="1" applyBorder="1">
      <alignment horizontal="center" vertical="center"/>
    </xf>
    <xf numFmtId="14" fontId="13" fillId="2" borderId="45" xfId="9" applyFont="1" applyFill="1" applyBorder="1">
      <alignment horizontal="center" vertical="center"/>
    </xf>
    <xf numFmtId="14" fontId="13" fillId="9" borderId="53" xfId="9" applyFont="1" applyFill="1" applyBorder="1">
      <alignment horizontal="center" vertical="center"/>
    </xf>
    <xf numFmtId="37" fontId="13" fillId="9" borderId="53" xfId="10" applyFont="1" applyFill="1" applyBorder="1">
      <alignment horizontal="center" vertical="center"/>
    </xf>
    <xf numFmtId="14" fontId="13" fillId="2" borderId="64" xfId="0" applyNumberFormat="1" applyFont="1" applyFill="1" applyBorder="1" applyAlignment="1">
      <alignment horizontal="center" vertical="center"/>
    </xf>
    <xf numFmtId="37" fontId="13" fillId="2" borderId="45" xfId="10" applyFont="1" applyFill="1" applyBorder="1">
      <alignment horizontal="center" vertical="center"/>
    </xf>
    <xf numFmtId="14" fontId="13" fillId="2" borderId="52" xfId="9" applyFont="1" applyFill="1" applyBorder="1">
      <alignment horizontal="center" vertical="center"/>
    </xf>
    <xf numFmtId="37" fontId="13" fillId="2" borderId="52" xfId="10" applyFont="1" applyFill="1" applyBorder="1">
      <alignment horizontal="center" vertical="center"/>
    </xf>
    <xf numFmtId="14" fontId="13" fillId="9" borderId="45" xfId="9" applyFont="1" applyFill="1" applyBorder="1">
      <alignment horizontal="center" vertical="center"/>
    </xf>
    <xf numFmtId="37" fontId="13" fillId="9" borderId="45" xfId="10" applyFont="1" applyFill="1" applyBorder="1">
      <alignment horizontal="center" vertical="center"/>
    </xf>
    <xf numFmtId="37" fontId="13" fillId="9" borderId="52" xfId="10" applyFont="1" applyFill="1" applyBorder="1">
      <alignment horizontal="center" vertical="center"/>
    </xf>
    <xf numFmtId="0" fontId="13" fillId="9" borderId="53" xfId="0" applyFont="1" applyFill="1" applyBorder="1" applyAlignment="1">
      <alignment horizontal="center" vertical="center"/>
    </xf>
    <xf numFmtId="0" fontId="14" fillId="2" borderId="52" xfId="0" applyFont="1" applyFill="1" applyBorder="1" applyAlignment="1">
      <alignment horizontal="center" vertical="center"/>
    </xf>
    <xf numFmtId="0" fontId="17" fillId="12" borderId="0" xfId="0" applyFont="1" applyFill="1" applyAlignment="1">
      <alignment horizontal="left" vertical="center" wrapText="1"/>
    </xf>
    <xf numFmtId="14" fontId="18" fillId="0" borderId="0" xfId="0" applyNumberFormat="1" applyFont="1" applyAlignment="1">
      <alignment vertical="center"/>
    </xf>
    <xf numFmtId="0" fontId="18" fillId="0" borderId="0" xfId="0" applyFont="1" applyAlignment="1">
      <alignment horizontal="center" vertical="center"/>
    </xf>
    <xf numFmtId="0" fontId="0" fillId="0" borderId="39" xfId="0" applyBorder="1" applyAlignment="1">
      <alignment horizontal="center" vertical="center"/>
    </xf>
    <xf numFmtId="0" fontId="0" fillId="3" borderId="75" xfId="0" applyFill="1" applyBorder="1" applyAlignment="1">
      <alignment horizontal="center" vertical="center"/>
    </xf>
    <xf numFmtId="0" fontId="0" fillId="3" borderId="76" xfId="0" applyFill="1" applyBorder="1" applyAlignment="1">
      <alignment horizontal="center" vertical="center"/>
    </xf>
    <xf numFmtId="0" fontId="0" fillId="0" borderId="74" xfId="0" applyBorder="1" applyAlignment="1">
      <alignment horizontal="center" vertical="center"/>
    </xf>
    <xf numFmtId="17" fontId="11" fillId="7" borderId="8" xfId="0" applyNumberFormat="1" applyFont="1" applyFill="1" applyBorder="1" applyAlignment="1">
      <alignment horizontal="center" vertical="center"/>
    </xf>
    <xf numFmtId="0" fontId="12" fillId="10" borderId="45" xfId="0" applyFont="1" applyFill="1" applyBorder="1" applyAlignment="1">
      <alignment horizontal="center" vertical="center" wrapText="1"/>
    </xf>
    <xf numFmtId="0" fontId="12" fillId="10" borderId="52" xfId="0" applyFont="1" applyFill="1" applyBorder="1" applyAlignment="1">
      <alignment horizontal="center" vertical="center" wrapText="1"/>
    </xf>
    <xf numFmtId="14" fontId="13" fillId="9" borderId="65" xfId="9" applyFont="1" applyFill="1" applyBorder="1">
      <alignment horizontal="center" vertical="center"/>
    </xf>
    <xf numFmtId="14" fontId="13" fillId="9" borderId="52" xfId="9" applyFont="1" applyFill="1" applyBorder="1">
      <alignment horizontal="center" vertical="center"/>
    </xf>
    <xf numFmtId="0" fontId="13" fillId="2" borderId="56" xfId="0" applyFont="1" applyFill="1" applyBorder="1" applyAlignment="1">
      <alignment horizontal="center" vertical="center" wrapText="1"/>
    </xf>
    <xf numFmtId="0" fontId="13" fillId="2" borderId="58" xfId="0" applyFont="1" applyFill="1" applyBorder="1" applyAlignment="1">
      <alignment horizontal="center" vertical="center" wrapText="1"/>
    </xf>
    <xf numFmtId="0" fontId="12" fillId="10" borderId="0" xfId="0" applyFont="1" applyFill="1" applyAlignment="1">
      <alignment horizontal="center" vertical="center" wrapText="1"/>
    </xf>
    <xf numFmtId="0" fontId="14" fillId="2" borderId="57" xfId="0" applyFont="1" applyFill="1" applyBorder="1" applyAlignment="1">
      <alignment horizontal="center" vertical="center"/>
    </xf>
    <xf numFmtId="0" fontId="14" fillId="2" borderId="58" xfId="0" applyFont="1" applyFill="1" applyBorder="1" applyAlignment="1">
      <alignment horizontal="center" vertical="center"/>
    </xf>
    <xf numFmtId="0" fontId="15" fillId="5" borderId="40" xfId="0" applyFont="1" applyFill="1" applyBorder="1" applyAlignment="1">
      <alignment horizontal="center" vertical="center"/>
    </xf>
    <xf numFmtId="0" fontId="16" fillId="5" borderId="0" xfId="5" applyFont="1" applyFill="1" applyAlignment="1">
      <alignment horizontal="left" vertical="center" indent="1"/>
    </xf>
    <xf numFmtId="0" fontId="10" fillId="5" borderId="0" xfId="0" applyFont="1" applyFill="1" applyAlignment="1">
      <alignment horizontal="center" vertical="center"/>
    </xf>
    <xf numFmtId="0" fontId="7" fillId="5" borderId="0" xfId="0" applyFont="1" applyFill="1" applyAlignment="1">
      <alignment horizontal="center" vertical="center"/>
    </xf>
    <xf numFmtId="0" fontId="8" fillId="4" borderId="0" xfId="0" applyFont="1" applyFill="1" applyAlignment="1">
      <alignment horizontal="center" vertical="center"/>
    </xf>
    <xf numFmtId="0" fontId="8" fillId="3" borderId="0" xfId="0" applyFont="1" applyFill="1" applyAlignment="1">
      <alignment horizontal="center" vertical="center"/>
    </xf>
    <xf numFmtId="0" fontId="8" fillId="13" borderId="0" xfId="0" applyFont="1" applyFill="1" applyAlignment="1">
      <alignment horizontal="center" vertical="center"/>
    </xf>
    <xf numFmtId="0" fontId="15" fillId="5" borderId="42" xfId="0" applyFont="1" applyFill="1" applyBorder="1" applyAlignment="1">
      <alignment horizontal="center" vertical="center" wrapText="1"/>
    </xf>
    <xf numFmtId="0" fontId="15" fillId="5" borderId="63" xfId="0" applyFont="1" applyFill="1" applyBorder="1" applyAlignment="1">
      <alignment horizontal="center" vertical="center" wrapText="1"/>
    </xf>
    <xf numFmtId="0" fontId="18" fillId="2" borderId="56" xfId="0" applyFont="1" applyFill="1" applyBorder="1" applyAlignment="1">
      <alignment horizontal="center" vertical="center" wrapText="1" readingOrder="1"/>
    </xf>
    <xf numFmtId="0" fontId="18" fillId="2" borderId="57" xfId="0" applyFont="1" applyFill="1" applyBorder="1" applyAlignment="1">
      <alignment horizontal="center" vertical="center" wrapText="1" readingOrder="1"/>
    </xf>
    <xf numFmtId="0" fontId="18" fillId="2" borderId="58" xfId="0" applyFont="1" applyFill="1" applyBorder="1" applyAlignment="1">
      <alignment horizontal="center" vertical="center" wrapText="1" readingOrder="1"/>
    </xf>
    <xf numFmtId="14" fontId="13" fillId="2" borderId="64" xfId="9" applyFont="1" applyFill="1" applyBorder="1">
      <alignment horizontal="center" vertical="center"/>
    </xf>
    <xf numFmtId="14" fontId="13" fillId="2" borderId="45" xfId="9" applyFont="1" applyFill="1" applyBorder="1">
      <alignment horizontal="center" vertical="center"/>
    </xf>
    <xf numFmtId="0" fontId="12" fillId="10" borderId="51" xfId="0" applyFont="1" applyFill="1" applyBorder="1" applyAlignment="1">
      <alignment horizontal="center" vertical="center" wrapText="1"/>
    </xf>
    <xf numFmtId="0" fontId="13" fillId="2" borderId="56" xfId="0" applyFont="1" applyFill="1" applyBorder="1" applyAlignment="1">
      <alignment horizontal="center" vertical="center"/>
    </xf>
    <xf numFmtId="0" fontId="13" fillId="2" borderId="57" xfId="0" applyFont="1" applyFill="1" applyBorder="1" applyAlignment="1">
      <alignment horizontal="center" vertical="center"/>
    </xf>
    <xf numFmtId="0" fontId="13" fillId="2" borderId="60" xfId="0" applyFont="1" applyFill="1" applyBorder="1" applyAlignment="1">
      <alignment horizontal="center" vertical="center"/>
    </xf>
    <xf numFmtId="0" fontId="15" fillId="5" borderId="46" xfId="0" applyFont="1" applyFill="1" applyBorder="1" applyAlignment="1">
      <alignment horizontal="center" vertical="center"/>
    </xf>
    <xf numFmtId="0" fontId="15" fillId="5" borderId="0" xfId="0" applyFont="1" applyFill="1" applyAlignment="1">
      <alignment horizontal="center" vertical="center"/>
    </xf>
    <xf numFmtId="0" fontId="15" fillId="5" borderId="47" xfId="0" applyFont="1" applyFill="1" applyBorder="1" applyAlignment="1">
      <alignment horizontal="center" vertical="center"/>
    </xf>
    <xf numFmtId="0" fontId="13" fillId="2" borderId="71" xfId="0" applyFont="1" applyFill="1" applyBorder="1" applyAlignment="1">
      <alignment horizontal="center" vertical="center"/>
    </xf>
    <xf numFmtId="0" fontId="13" fillId="2" borderId="0" xfId="0" applyFont="1" applyFill="1" applyAlignment="1">
      <alignment horizontal="center" vertical="center"/>
    </xf>
    <xf numFmtId="0" fontId="13" fillId="9" borderId="71" xfId="0" applyFont="1" applyFill="1" applyBorder="1" applyAlignment="1">
      <alignment horizontal="center" vertical="center"/>
    </xf>
    <xf numFmtId="0" fontId="13" fillId="9" borderId="0" xfId="0" applyFont="1" applyFill="1" applyAlignment="1">
      <alignment horizontal="center" vertical="center"/>
    </xf>
    <xf numFmtId="0" fontId="14" fillId="0" borderId="72" xfId="0" applyFont="1" applyBorder="1" applyAlignment="1">
      <alignment horizontal="center" vertical="center"/>
    </xf>
    <xf numFmtId="0" fontId="14" fillId="0" borderId="0" xfId="0" applyFont="1" applyAlignment="1">
      <alignment horizontal="center" vertical="center"/>
    </xf>
    <xf numFmtId="14" fontId="13" fillId="2" borderId="69" xfId="9" applyFont="1" applyFill="1" applyBorder="1" applyAlignment="1">
      <alignment horizontal="center" vertical="center" wrapText="1"/>
    </xf>
    <xf numFmtId="14" fontId="13" fillId="2" borderId="70" xfId="9" applyFont="1" applyFill="1" applyBorder="1">
      <alignment horizontal="center" vertical="center"/>
    </xf>
    <xf numFmtId="14" fontId="13" fillId="2" borderId="73" xfId="9" applyFont="1" applyFill="1" applyBorder="1">
      <alignment horizontal="center" vertical="center"/>
    </xf>
    <xf numFmtId="0" fontId="13" fillId="2" borderId="72" xfId="0" applyFont="1" applyFill="1" applyBorder="1" applyAlignment="1">
      <alignment horizontal="center" vertical="center"/>
    </xf>
    <xf numFmtId="14" fontId="14" fillId="0" borderId="0" xfId="9" applyFont="1" applyFill="1" applyBorder="1">
      <alignment horizontal="center" vertical="center"/>
    </xf>
    <xf numFmtId="14" fontId="13" fillId="0" borderId="0" xfId="0" applyNumberFormat="1" applyFont="1" applyFill="1" applyAlignment="1">
      <alignment horizontal="center" vertical="center"/>
    </xf>
  </cellXfs>
  <cellStyles count="11">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520">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3" defaultTableStyle="Gantt Table Style" defaultPivotStyle="PivotStyleLight16">
    <tableStyle name="Gantt Table Style" pivot="0" count="4" xr9:uid="{4904D139-63E4-4221-B7C9-C6C5B7A50FAF}">
      <tableStyleElement type="wholeTable" dxfId="519"/>
      <tableStyleElement type="headerRow" dxfId="518"/>
      <tableStyleElement type="firstRowStripe" dxfId="517"/>
      <tableStyleElement type="secondRowStripe" dxfId="516"/>
    </tableStyle>
    <tableStyle name="Invisible" pivot="0" table="0" count="0" xr9:uid="{7CF3B240-BCC6-4A9A-B673-CFB5EE1174D3}"/>
    <tableStyle name="ToDoList" pivot="0" count="9" xr9:uid="{00000000-0011-0000-FFFF-FFFF00000000}">
      <tableStyleElement type="wholeTable" dxfId="515"/>
      <tableStyleElement type="headerRow" dxfId="514"/>
      <tableStyleElement type="totalRow" dxfId="513"/>
      <tableStyleElement type="firstColumn" dxfId="512"/>
      <tableStyleElement type="lastColumn" dxfId="511"/>
      <tableStyleElement type="firstRowStripe" dxfId="510"/>
      <tableStyleElement type="secondRowStripe" dxfId="509"/>
      <tableStyleElement type="firstColumnStripe" dxfId="508"/>
      <tableStyleElement type="secondColumnStripe" dxfId="50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000000"/>
      <color rgb="FF215881"/>
      <color rgb="FF44678E"/>
      <color rgb="FF969696"/>
      <color rgb="FF42648A"/>
      <color rgb="FF427FC2"/>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REF!" horiz="1" max="365" page="2" val="0"/>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31750</xdr:colOff>
          <xdr:row>7</xdr:row>
          <xdr:rowOff>63500</xdr:rowOff>
        </xdr:from>
        <xdr:to>
          <xdr:col>68</xdr:col>
          <xdr:colOff>184150</xdr:colOff>
          <xdr:row>7</xdr:row>
          <xdr:rowOff>241300</xdr:rowOff>
        </xdr:to>
        <xdr:sp macro="" textlink="">
          <xdr:nvSpPr>
            <xdr:cNvPr id="19457" name="Scroll Bar 1" descr="Scroll bar to scroll through the Ghantt project timeline." hidden="1">
              <a:extLst>
                <a:ext uri="{63B3BB69-23CF-44E3-9099-C40C66FF867C}">
                  <a14:compatExt spid="_x0000_s19457"/>
                </a:ext>
                <a:ext uri="{FF2B5EF4-FFF2-40B4-BE49-F238E27FC236}">
                  <a16:creationId xmlns:a16="http://schemas.microsoft.com/office/drawing/2014/main" id="{00000000-0008-0000-0000-0000014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402167</xdr:colOff>
      <xdr:row>1</xdr:row>
      <xdr:rowOff>137582</xdr:rowOff>
    </xdr:from>
    <xdr:to>
      <xdr:col>23</xdr:col>
      <xdr:colOff>594088</xdr:colOff>
      <xdr:row>49</xdr:row>
      <xdr:rowOff>127000</xdr:rowOff>
    </xdr:to>
    <xdr:pic>
      <xdr:nvPicPr>
        <xdr:cNvPr id="4" name="Graphic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2167" y="317499"/>
          <a:ext cx="14310088" cy="8625418"/>
        </a:xfrm>
        <a:prstGeom prst="rect">
          <a:avLst/>
        </a:prstGeom>
      </xdr:spPr>
    </xdr:pic>
    <xdr:clientData/>
  </xdr:twoCellAnchor>
</xdr:wsDr>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4AAF-5874-4D20-95F0-6C76B973E828}">
  <sheetPr>
    <pageSetUpPr fitToPage="1"/>
  </sheetPr>
  <dimension ref="A1:BQ101"/>
  <sheetViews>
    <sheetView showGridLines="0" tabSelected="1" showRuler="0" zoomScale="40" zoomScaleNormal="40" zoomScalePageLayoutView="70" workbookViewId="0">
      <pane xSplit="7" ySplit="12" topLeftCell="H13" activePane="bottomRight" state="frozen"/>
      <selection pane="topRight" activeCell="H1" sqref="H1"/>
      <selection pane="bottomLeft" activeCell="A13" sqref="A13"/>
      <selection pane="bottomRight" activeCell="I17" sqref="I17"/>
    </sheetView>
  </sheetViews>
  <sheetFormatPr defaultColWidth="8.90625" defaultRowHeight="30" customHeight="1" x14ac:dyDescent="0.5"/>
  <cols>
    <col min="1" max="1" width="2.7265625" style="2" customWidth="1"/>
    <col min="2" max="2" width="53" style="24" customWidth="1"/>
    <col min="3" max="3" width="74.6328125" style="111" bestFit="1" customWidth="1"/>
    <col min="4" max="4" width="16" style="24" customWidth="1"/>
    <col min="5" max="5" width="15.81640625" style="24" customWidth="1"/>
    <col min="6" max="6" width="21.1796875" style="24" customWidth="1"/>
    <col min="7" max="7" width="20.1796875" style="24" customWidth="1"/>
    <col min="8" max="8" width="41.90625" style="24" customWidth="1"/>
    <col min="9" max="9" width="19.26953125" style="24" customWidth="1"/>
    <col min="10" max="10" width="21.36328125" style="27" customWidth="1"/>
    <col min="11" max="11" width="10.453125" style="27" customWidth="1"/>
    <col min="12" max="12" width="5.1796875" customWidth="1"/>
    <col min="13" max="64" width="3.54296875" customWidth="1"/>
    <col min="65" max="66" width="2.6328125" customWidth="1"/>
    <col min="67" max="68" width="3" customWidth="1"/>
  </cols>
  <sheetData>
    <row r="1" spans="1:69" ht="25" customHeight="1" x14ac:dyDescent="0.5"/>
    <row r="2" spans="1:69" ht="50" customHeight="1" x14ac:dyDescent="0.35">
      <c r="A2" s="3"/>
      <c r="B2" s="233" t="s">
        <v>87</v>
      </c>
      <c r="C2" s="233"/>
      <c r="D2" s="233"/>
      <c r="E2" s="233"/>
      <c r="F2" s="233"/>
      <c r="G2" s="233"/>
      <c r="H2" s="233"/>
      <c r="I2" s="233"/>
      <c r="J2" s="233"/>
      <c r="K2" s="233"/>
      <c r="L2" s="233"/>
      <c r="M2" s="234"/>
      <c r="N2" s="234"/>
      <c r="O2" s="234"/>
      <c r="P2" s="234"/>
      <c r="Q2" s="234"/>
      <c r="R2" s="234"/>
      <c r="S2" s="235"/>
      <c r="T2" s="235"/>
      <c r="U2" s="235"/>
      <c r="V2" s="235"/>
      <c r="W2" s="235"/>
      <c r="X2" s="235"/>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row>
    <row r="3" spans="1:69" ht="20" customHeight="1" x14ac:dyDescent="0.35">
      <c r="A3" s="3"/>
      <c r="B3" s="25"/>
      <c r="C3" s="101"/>
      <c r="D3" s="25"/>
      <c r="E3" s="25"/>
      <c r="F3" s="25"/>
      <c r="G3" s="25"/>
      <c r="H3" s="23"/>
      <c r="I3" s="23"/>
      <c r="J3" s="28"/>
      <c r="K3" s="28"/>
      <c r="L3" s="8"/>
      <c r="M3" s="10"/>
      <c r="N3" s="1"/>
      <c r="O3" s="1"/>
      <c r="P3" s="1"/>
    </row>
    <row r="4" spans="1:69" ht="30" customHeight="1" x14ac:dyDescent="0.5">
      <c r="A4" s="3"/>
      <c r="B4" s="21"/>
      <c r="C4" s="102"/>
      <c r="D4" s="21"/>
      <c r="E4" s="21"/>
      <c r="F4" s="21"/>
      <c r="G4" s="21"/>
      <c r="H4" s="29"/>
      <c r="I4" s="30"/>
      <c r="J4" s="31"/>
      <c r="K4" s="28"/>
      <c r="L4" s="9"/>
      <c r="M4" s="236" t="s">
        <v>6</v>
      </c>
      <c r="N4" s="236"/>
      <c r="O4" s="236"/>
      <c r="P4" s="236"/>
      <c r="Q4" s="236"/>
      <c r="R4" s="236"/>
      <c r="T4" s="237" t="s">
        <v>30</v>
      </c>
      <c r="U4" s="237"/>
      <c r="V4" s="237"/>
      <c r="W4" s="237"/>
      <c r="X4" s="237"/>
      <c r="Y4" s="237"/>
      <c r="Z4" s="237"/>
      <c r="AA4" s="237"/>
      <c r="AB4" s="237"/>
      <c r="AC4" s="237"/>
      <c r="AD4" s="237"/>
      <c r="AE4" s="237"/>
      <c r="AG4" s="238" t="s">
        <v>31</v>
      </c>
      <c r="AH4" s="238"/>
      <c r="AI4" s="238"/>
      <c r="AJ4" s="238"/>
      <c r="AK4" s="238"/>
      <c r="AL4" s="238"/>
      <c r="AM4" s="238"/>
    </row>
    <row r="5" spans="1:69" ht="30" customHeight="1" x14ac:dyDescent="0.5">
      <c r="A5" s="3"/>
      <c r="B5" s="22"/>
      <c r="C5" s="103"/>
      <c r="D5" s="22"/>
      <c r="E5" s="22"/>
      <c r="F5" s="22"/>
      <c r="G5" s="22"/>
      <c r="H5" s="29"/>
      <c r="I5" s="30"/>
      <c r="J5" s="31"/>
      <c r="K5" s="31"/>
      <c r="L5" s="9"/>
    </row>
    <row r="6" spans="1:69" ht="30" customHeight="1" x14ac:dyDescent="0.5">
      <c r="A6" s="3"/>
      <c r="B6" s="26"/>
      <c r="C6" s="104"/>
      <c r="D6" s="26"/>
      <c r="E6" s="26"/>
      <c r="F6" s="26"/>
      <c r="G6" s="26"/>
      <c r="H6" s="32"/>
      <c r="I6" s="30"/>
      <c r="J6" s="31"/>
      <c r="K6" s="31"/>
      <c r="L6" s="7"/>
      <c r="M6" s="222">
        <v>44866</v>
      </c>
      <c r="N6" s="222"/>
      <c r="O6" s="222"/>
      <c r="P6" s="222"/>
      <c r="Q6" s="222">
        <v>44896</v>
      </c>
      <c r="R6" s="222"/>
      <c r="S6" s="222"/>
      <c r="T6" s="222"/>
      <c r="U6" s="222">
        <v>44927</v>
      </c>
      <c r="V6" s="222"/>
      <c r="W6" s="222"/>
      <c r="X6" s="222"/>
      <c r="Y6" s="222">
        <v>44958</v>
      </c>
      <c r="Z6" s="222"/>
      <c r="AA6" s="222"/>
      <c r="AB6" s="222"/>
      <c r="AC6" s="222">
        <v>44986</v>
      </c>
      <c r="AD6" s="222"/>
      <c r="AE6" s="222"/>
      <c r="AF6" s="222"/>
      <c r="AG6" s="222">
        <v>45017</v>
      </c>
      <c r="AH6" s="222"/>
      <c r="AI6" s="222"/>
      <c r="AJ6" s="222"/>
      <c r="AK6" s="222">
        <v>45047</v>
      </c>
      <c r="AL6" s="222"/>
      <c r="AM6" s="222"/>
      <c r="AN6" s="222"/>
      <c r="AO6" s="222">
        <v>45078</v>
      </c>
      <c r="AP6" s="222"/>
      <c r="AQ6" s="222"/>
      <c r="AR6" s="222"/>
      <c r="AS6" s="222">
        <v>45108</v>
      </c>
      <c r="AT6" s="222"/>
      <c r="AU6" s="222"/>
      <c r="AV6" s="222"/>
      <c r="AW6" s="222">
        <v>45139</v>
      </c>
      <c r="AX6" s="222"/>
      <c r="AY6" s="222"/>
      <c r="AZ6" s="222"/>
      <c r="BA6" s="222">
        <v>45170</v>
      </c>
      <c r="BB6" s="222"/>
      <c r="BC6" s="222"/>
      <c r="BD6" s="222"/>
      <c r="BE6" s="222">
        <v>45200</v>
      </c>
      <c r="BF6" s="222"/>
      <c r="BG6" s="222"/>
      <c r="BH6" s="222"/>
      <c r="BI6" s="222">
        <v>45231</v>
      </c>
      <c r="BJ6" s="222"/>
      <c r="BK6" s="222"/>
      <c r="BL6" s="222"/>
      <c r="BM6" s="222">
        <v>45261</v>
      </c>
      <c r="BN6" s="222"/>
      <c r="BO6" s="222"/>
      <c r="BP6" s="222"/>
    </row>
    <row r="7" spans="1:69" ht="30" customHeight="1" x14ac:dyDescent="0.5">
      <c r="A7" s="3"/>
      <c r="B7" s="26"/>
      <c r="C7" s="104"/>
      <c r="D7" s="26"/>
      <c r="E7" s="67"/>
      <c r="F7" s="67"/>
      <c r="G7" s="67"/>
      <c r="H7" s="28"/>
      <c r="I7" s="31"/>
      <c r="J7" s="31"/>
      <c r="K7" s="31"/>
      <c r="L7" s="7"/>
      <c r="M7" s="12">
        <v>1</v>
      </c>
      <c r="N7" s="13">
        <v>2</v>
      </c>
      <c r="O7" s="13">
        <v>3</v>
      </c>
      <c r="P7" s="35">
        <v>4</v>
      </c>
      <c r="Q7" s="36">
        <v>1</v>
      </c>
      <c r="R7" s="13">
        <v>2</v>
      </c>
      <c r="S7" s="13">
        <v>3</v>
      </c>
      <c r="T7" s="35">
        <v>4</v>
      </c>
      <c r="U7" s="36">
        <v>1</v>
      </c>
      <c r="V7" s="13">
        <v>2</v>
      </c>
      <c r="W7" s="13">
        <v>3</v>
      </c>
      <c r="X7" s="35">
        <v>4</v>
      </c>
      <c r="Y7" s="36">
        <v>1</v>
      </c>
      <c r="Z7" s="13">
        <v>2</v>
      </c>
      <c r="AA7" s="13">
        <v>3</v>
      </c>
      <c r="AB7" s="35">
        <v>4</v>
      </c>
      <c r="AC7" s="36">
        <v>1</v>
      </c>
      <c r="AD7" s="13">
        <v>2</v>
      </c>
      <c r="AE7" s="13">
        <v>3</v>
      </c>
      <c r="AF7" s="35">
        <v>4</v>
      </c>
      <c r="AG7" s="36">
        <v>1</v>
      </c>
      <c r="AH7" s="13">
        <v>2</v>
      </c>
      <c r="AI7" s="13">
        <v>3</v>
      </c>
      <c r="AJ7" s="35">
        <v>4</v>
      </c>
      <c r="AK7" s="36">
        <v>1</v>
      </c>
      <c r="AL7" s="13">
        <v>2</v>
      </c>
      <c r="AM7" s="13">
        <v>3</v>
      </c>
      <c r="AN7" s="35">
        <v>4</v>
      </c>
      <c r="AO7" s="36">
        <v>1</v>
      </c>
      <c r="AP7" s="13">
        <v>2</v>
      </c>
      <c r="AQ7" s="13">
        <v>3</v>
      </c>
      <c r="AR7" s="35">
        <v>4</v>
      </c>
      <c r="AS7" s="36">
        <v>1</v>
      </c>
      <c r="AT7" s="13">
        <v>2</v>
      </c>
      <c r="AU7" s="13">
        <v>3</v>
      </c>
      <c r="AV7" s="35">
        <v>4</v>
      </c>
      <c r="AW7" s="36">
        <v>1</v>
      </c>
      <c r="AX7" s="13">
        <v>2</v>
      </c>
      <c r="AY7" s="13">
        <v>3</v>
      </c>
      <c r="AZ7" s="35">
        <v>4</v>
      </c>
      <c r="BA7" s="36">
        <v>1</v>
      </c>
      <c r="BB7" s="13">
        <v>2</v>
      </c>
      <c r="BC7" s="13">
        <v>3</v>
      </c>
      <c r="BD7" s="35">
        <v>4</v>
      </c>
      <c r="BE7" s="36">
        <v>1</v>
      </c>
      <c r="BF7" s="13">
        <v>2</v>
      </c>
      <c r="BG7" s="13">
        <v>3</v>
      </c>
      <c r="BH7" s="35">
        <v>4</v>
      </c>
      <c r="BI7" s="36">
        <v>1</v>
      </c>
      <c r="BJ7" s="13">
        <v>2</v>
      </c>
      <c r="BK7" s="13">
        <v>3</v>
      </c>
      <c r="BL7" s="35">
        <v>4</v>
      </c>
      <c r="BM7" s="36">
        <v>5</v>
      </c>
      <c r="BN7" s="13">
        <v>6</v>
      </c>
      <c r="BO7" s="13">
        <v>7</v>
      </c>
      <c r="BP7" s="35">
        <v>8</v>
      </c>
    </row>
    <row r="8" spans="1:69" ht="59" customHeight="1" x14ac:dyDescent="0.35">
      <c r="A8" s="3"/>
      <c r="B8" s="251" t="s">
        <v>11</v>
      </c>
      <c r="C8" s="250" t="s">
        <v>16</v>
      </c>
      <c r="D8" s="252" t="s">
        <v>32</v>
      </c>
      <c r="E8" s="251"/>
      <c r="F8" s="251"/>
      <c r="G8" s="250"/>
      <c r="H8" s="239" t="s">
        <v>33</v>
      </c>
      <c r="I8" s="232" t="s">
        <v>12</v>
      </c>
      <c r="J8" s="232"/>
      <c r="K8" s="232"/>
      <c r="L8" s="7"/>
      <c r="M8" s="14"/>
      <c r="N8" s="15"/>
      <c r="O8" s="15"/>
      <c r="P8" s="15"/>
      <c r="Q8" s="15"/>
      <c r="R8" s="15"/>
      <c r="S8" s="15"/>
      <c r="T8" s="16"/>
      <c r="U8" s="15"/>
      <c r="V8" s="15"/>
      <c r="W8" s="15"/>
      <c r="X8" s="15"/>
      <c r="Y8" s="15"/>
      <c r="Z8" s="17"/>
      <c r="AA8" s="15"/>
      <c r="AB8" s="15"/>
      <c r="AC8" s="15"/>
      <c r="AD8" s="15"/>
      <c r="AE8" s="15"/>
      <c r="AF8" s="15"/>
      <c r="AG8" s="17"/>
      <c r="AH8" s="15"/>
      <c r="AI8" s="15"/>
      <c r="AJ8" s="15"/>
      <c r="AK8" s="15"/>
      <c r="AL8" s="15"/>
      <c r="AM8" s="15"/>
      <c r="AN8" s="17"/>
      <c r="AO8" s="15"/>
      <c r="AP8" s="15"/>
      <c r="AQ8" s="15"/>
      <c r="AR8" s="15"/>
      <c r="AS8" s="15"/>
      <c r="AT8" s="15"/>
      <c r="AU8" s="17"/>
      <c r="AV8" s="15"/>
      <c r="AW8" s="15"/>
      <c r="AX8" s="15"/>
      <c r="AY8" s="15"/>
      <c r="AZ8" s="15"/>
      <c r="BA8" s="15"/>
      <c r="BB8" s="17"/>
      <c r="BC8" s="15"/>
      <c r="BD8" s="15"/>
      <c r="BE8" s="15"/>
      <c r="BF8" s="15"/>
      <c r="BG8" s="15"/>
      <c r="BH8" s="15"/>
      <c r="BI8" s="17"/>
      <c r="BJ8" s="15"/>
      <c r="BK8" s="15"/>
      <c r="BL8" s="15"/>
      <c r="BM8" s="17"/>
      <c r="BN8" s="15"/>
      <c r="BO8" s="15"/>
      <c r="BP8" s="15"/>
    </row>
    <row r="9" spans="1:69" ht="40" customHeight="1" x14ac:dyDescent="0.35">
      <c r="A9" s="3"/>
      <c r="B9" s="251"/>
      <c r="C9" s="250"/>
      <c r="D9" s="68" t="s">
        <v>17</v>
      </c>
      <c r="E9" s="68" t="s">
        <v>13</v>
      </c>
      <c r="F9" s="68" t="s">
        <v>14</v>
      </c>
      <c r="G9" s="68" t="s">
        <v>15</v>
      </c>
      <c r="H9" s="240"/>
      <c r="I9" s="69" t="s">
        <v>0</v>
      </c>
      <c r="J9" s="69" t="s">
        <v>5</v>
      </c>
      <c r="K9" s="70" t="s">
        <v>1</v>
      </c>
      <c r="L9" s="7"/>
      <c r="M9" s="18"/>
      <c r="N9" s="18"/>
      <c r="O9" s="18"/>
      <c r="P9" s="48"/>
      <c r="Q9" s="51"/>
      <c r="R9" s="18"/>
      <c r="S9" s="18"/>
      <c r="T9" s="48"/>
      <c r="U9" s="37"/>
      <c r="V9" s="18"/>
      <c r="W9" s="18"/>
      <c r="X9" s="40"/>
      <c r="Y9" s="44"/>
      <c r="Z9" s="18"/>
      <c r="AA9" s="18"/>
      <c r="AB9" s="40"/>
      <c r="AC9" s="44"/>
      <c r="AD9" s="18"/>
      <c r="AE9" s="18"/>
      <c r="AF9" s="40"/>
      <c r="AG9" s="44"/>
      <c r="AH9" s="18"/>
      <c r="AI9" s="18"/>
      <c r="AJ9" s="40"/>
      <c r="AK9" s="44"/>
      <c r="AL9" s="18"/>
      <c r="AM9" s="18"/>
      <c r="AN9" s="40"/>
      <c r="AO9" s="44"/>
      <c r="AP9" s="18"/>
      <c r="AQ9" s="18"/>
      <c r="AR9" s="40"/>
      <c r="AS9" s="44"/>
      <c r="AT9" s="18"/>
      <c r="AU9" s="18"/>
      <c r="AV9" s="40"/>
      <c r="AW9" s="44"/>
      <c r="AX9" s="18"/>
      <c r="AY9" s="18"/>
      <c r="AZ9" s="40"/>
      <c r="BA9" s="44"/>
      <c r="BB9" s="18"/>
      <c r="BC9" s="18"/>
      <c r="BD9" s="40"/>
      <c r="BE9" s="44"/>
      <c r="BF9" s="18"/>
      <c r="BG9" s="18"/>
      <c r="BH9" s="40"/>
      <c r="BI9" s="44"/>
      <c r="BJ9" s="18"/>
      <c r="BK9" s="18"/>
      <c r="BL9" s="40"/>
      <c r="BM9" s="44"/>
      <c r="BN9" s="18"/>
      <c r="BO9" s="18"/>
      <c r="BP9" s="40"/>
    </row>
    <row r="10" spans="1:69" ht="6" customHeight="1" x14ac:dyDescent="0.5">
      <c r="B10" s="71"/>
      <c r="C10" s="112"/>
      <c r="D10" s="71"/>
      <c r="E10" s="72"/>
      <c r="F10" s="72"/>
      <c r="G10" s="72"/>
      <c r="H10" s="73"/>
      <c r="I10" s="74"/>
      <c r="J10" s="75"/>
      <c r="K10" s="76"/>
      <c r="L10" s="7"/>
      <c r="M10" s="142"/>
      <c r="N10" s="5"/>
      <c r="O10" s="5"/>
      <c r="P10" s="49"/>
      <c r="Q10" s="52"/>
      <c r="R10" s="5"/>
      <c r="S10" s="5"/>
      <c r="T10" s="49"/>
      <c r="U10" s="38"/>
      <c r="V10" s="5"/>
      <c r="W10" s="5"/>
      <c r="X10" s="41"/>
      <c r="Y10" s="45"/>
      <c r="Z10" s="5"/>
      <c r="AA10" s="5"/>
      <c r="AB10" s="41"/>
      <c r="AC10" s="45"/>
      <c r="AD10" s="5"/>
      <c r="AE10" s="5"/>
      <c r="AF10" s="41"/>
      <c r="AG10" s="45"/>
      <c r="AH10" s="5"/>
      <c r="AI10" s="5"/>
      <c r="AJ10" s="41"/>
      <c r="AK10" s="45"/>
      <c r="AL10" s="5"/>
      <c r="AM10" s="5"/>
      <c r="AN10" s="41"/>
      <c r="AO10" s="45"/>
      <c r="AP10" s="5"/>
      <c r="AQ10" s="5"/>
      <c r="AR10" s="41"/>
      <c r="AS10" s="45"/>
      <c r="AT10" s="5"/>
      <c r="AU10" s="5"/>
      <c r="AV10" s="41"/>
      <c r="AW10" s="45"/>
      <c r="AX10" s="5"/>
      <c r="AY10" s="5"/>
      <c r="AZ10" s="41"/>
      <c r="BA10" s="45"/>
      <c r="BB10" s="5"/>
      <c r="BC10" s="5"/>
      <c r="BD10" s="41"/>
      <c r="BE10" s="45"/>
      <c r="BF10" s="5"/>
      <c r="BG10" s="5"/>
      <c r="BH10" s="41"/>
      <c r="BI10" s="45"/>
      <c r="BJ10" s="5"/>
      <c r="BK10" s="5"/>
      <c r="BL10" s="41"/>
      <c r="BM10" s="45"/>
      <c r="BN10" s="5"/>
      <c r="BO10" s="5"/>
      <c r="BP10" s="41"/>
    </row>
    <row r="11" spans="1:69" s="1" customFormat="1" ht="11" customHeight="1" x14ac:dyDescent="0.35">
      <c r="A11" s="3"/>
      <c r="B11" s="105"/>
      <c r="C11" s="105"/>
      <c r="D11" s="94"/>
      <c r="E11" s="81"/>
      <c r="F11" s="81"/>
      <c r="G11" s="81"/>
      <c r="H11" s="82"/>
      <c r="I11" s="98"/>
      <c r="J11" s="83"/>
      <c r="K11" s="84"/>
      <c r="L11" s="7"/>
      <c r="M11" s="143"/>
      <c r="N11" s="4"/>
      <c r="O11" s="4"/>
      <c r="P11" s="42"/>
      <c r="Q11" s="19"/>
      <c r="R11" s="4"/>
      <c r="S11" s="4"/>
      <c r="T11" s="42"/>
      <c r="U11" s="19"/>
      <c r="V11" s="4"/>
      <c r="W11" s="4"/>
      <c r="X11" s="42"/>
      <c r="Y11" s="46"/>
      <c r="Z11" s="4"/>
      <c r="AA11" s="4"/>
      <c r="AB11" s="42"/>
      <c r="AC11" s="46"/>
      <c r="AD11" s="4"/>
      <c r="AE11" s="4"/>
      <c r="AF11" s="42"/>
      <c r="AG11" s="46"/>
      <c r="AH11" s="4"/>
      <c r="AI11" s="4"/>
      <c r="AJ11" s="42"/>
      <c r="AK11" s="46"/>
      <c r="AL11" s="4"/>
      <c r="AM11" s="4"/>
      <c r="AN11" s="42"/>
      <c r="AO11" s="46"/>
      <c r="AP11" s="4"/>
      <c r="AQ11" s="4"/>
      <c r="AR11" s="42"/>
      <c r="AS11" s="46"/>
      <c r="AT11" s="4"/>
      <c r="AU11" s="4"/>
      <c r="AV11" s="42"/>
      <c r="AW11" s="46"/>
      <c r="AX11" s="4"/>
      <c r="AY11" s="4"/>
      <c r="AZ11" s="42"/>
      <c r="BA11" s="46"/>
      <c r="BB11" s="4"/>
      <c r="BC11" s="4"/>
      <c r="BD11" s="42"/>
      <c r="BE11" s="46"/>
      <c r="BF11" s="4"/>
      <c r="BG11" s="4"/>
      <c r="BH11" s="42"/>
      <c r="BI11" s="46"/>
      <c r="BJ11" s="4"/>
      <c r="BK11" s="4"/>
      <c r="BL11" s="42"/>
      <c r="BM11" s="46"/>
      <c r="BN11" s="4"/>
      <c r="BO11" s="4"/>
      <c r="BP11" s="42"/>
      <c r="BQ11" s="6"/>
    </row>
    <row r="12" spans="1:69" s="1" customFormat="1" ht="42" x14ac:dyDescent="0.35">
      <c r="A12" s="3"/>
      <c r="B12" s="223" t="s">
        <v>3</v>
      </c>
      <c r="C12" s="186" t="s">
        <v>85</v>
      </c>
      <c r="E12" s="116">
        <v>2</v>
      </c>
      <c r="F12" s="114"/>
      <c r="G12" s="115"/>
      <c r="H12" s="247" t="s">
        <v>34</v>
      </c>
      <c r="I12" s="188">
        <v>44880</v>
      </c>
      <c r="J12" s="189">
        <v>44895</v>
      </c>
      <c r="K12" s="190">
        <f>J12-I12</f>
        <v>15</v>
      </c>
      <c r="L12" s="7"/>
      <c r="M12" s="143"/>
      <c r="N12" s="4"/>
      <c r="O12" s="124"/>
      <c r="P12" s="42"/>
      <c r="Q12" s="19"/>
      <c r="R12" s="19"/>
      <c r="S12" s="19"/>
      <c r="T12" s="42"/>
      <c r="U12" s="19"/>
      <c r="V12" s="19"/>
      <c r="W12" s="19"/>
      <c r="X12" s="42"/>
      <c r="Y12" s="19"/>
      <c r="Z12" s="4"/>
      <c r="AA12" s="4"/>
      <c r="AB12" s="42"/>
      <c r="AC12" s="46"/>
      <c r="AD12" s="4"/>
      <c r="AE12" s="4"/>
      <c r="AF12" s="42"/>
      <c r="AG12" s="46"/>
      <c r="AH12" s="4"/>
      <c r="AI12" s="4"/>
      <c r="AJ12" s="42"/>
      <c r="AK12" s="46"/>
      <c r="AL12" s="4"/>
      <c r="AM12" s="4"/>
      <c r="AN12" s="42"/>
      <c r="AO12" s="46"/>
      <c r="AP12" s="4"/>
      <c r="AQ12" s="4"/>
      <c r="AR12" s="42"/>
      <c r="AS12" s="46"/>
      <c r="AT12" s="4"/>
      <c r="AU12" s="4"/>
      <c r="AV12" s="42"/>
      <c r="AW12" s="46"/>
      <c r="AX12" s="4"/>
      <c r="AY12" s="4"/>
      <c r="AZ12" s="42"/>
      <c r="BA12" s="46"/>
      <c r="BB12" s="4"/>
      <c r="BC12" s="4"/>
      <c r="BD12" s="42"/>
      <c r="BE12" s="46"/>
      <c r="BF12" s="4"/>
      <c r="BG12" s="4"/>
      <c r="BH12" s="42"/>
      <c r="BI12" s="46"/>
      <c r="BJ12" s="4"/>
      <c r="BK12" s="4"/>
      <c r="BL12" s="42"/>
      <c r="BM12" s="46"/>
      <c r="BN12" s="4"/>
      <c r="BO12" s="4"/>
      <c r="BP12" s="42"/>
    </row>
    <row r="13" spans="1:69" s="1" customFormat="1" ht="55.5" customHeight="1" x14ac:dyDescent="0.35">
      <c r="A13" s="3"/>
      <c r="B13" s="229"/>
      <c r="C13" s="167" t="s">
        <v>86</v>
      </c>
      <c r="D13" s="145">
        <v>2</v>
      </c>
      <c r="E13" s="77"/>
      <c r="F13" s="77"/>
      <c r="G13" s="144"/>
      <c r="H13" s="248"/>
      <c r="I13" s="182">
        <v>44900</v>
      </c>
      <c r="J13" s="182">
        <v>44900</v>
      </c>
      <c r="K13" s="183">
        <v>1</v>
      </c>
      <c r="L13" s="7"/>
      <c r="M13" s="143"/>
      <c r="N13" s="4"/>
      <c r="O13" s="4"/>
      <c r="P13" s="42"/>
      <c r="Q13" s="125"/>
      <c r="R13" s="19"/>
      <c r="S13" s="19"/>
      <c r="T13" s="42"/>
      <c r="U13" s="19"/>
      <c r="V13" s="19"/>
      <c r="W13" s="19"/>
      <c r="X13" s="42"/>
      <c r="Y13" s="19"/>
      <c r="Z13" s="4"/>
      <c r="AA13" s="4"/>
      <c r="AB13" s="42"/>
      <c r="AC13" s="46"/>
      <c r="AD13" s="4"/>
      <c r="AE13" s="4"/>
      <c r="AF13" s="42"/>
      <c r="AG13" s="46"/>
      <c r="AH13" s="4"/>
      <c r="AI13" s="4"/>
      <c r="AJ13" s="42"/>
      <c r="AK13" s="46"/>
      <c r="AL13" s="4"/>
      <c r="AM13" s="4"/>
      <c r="AN13" s="42"/>
      <c r="AO13" s="46"/>
      <c r="AP13" s="4"/>
      <c r="AQ13" s="4"/>
      <c r="AR13" s="42"/>
      <c r="AS13" s="46"/>
      <c r="AT13" s="4"/>
      <c r="AU13" s="4"/>
      <c r="AV13" s="42"/>
      <c r="AW13" s="46"/>
      <c r="AX13" s="4"/>
      <c r="AY13" s="4"/>
      <c r="AZ13" s="42"/>
      <c r="BA13" s="46"/>
      <c r="BB13" s="4"/>
      <c r="BC13" s="4"/>
      <c r="BD13" s="42"/>
      <c r="BE13" s="46"/>
      <c r="BF13" s="4"/>
      <c r="BG13" s="4"/>
      <c r="BH13" s="42"/>
      <c r="BI13" s="46"/>
      <c r="BJ13" s="4"/>
      <c r="BK13" s="4"/>
      <c r="BL13" s="42"/>
      <c r="BM13" s="46"/>
      <c r="BN13" s="4"/>
      <c r="BO13" s="4"/>
      <c r="BP13" s="42"/>
    </row>
    <row r="14" spans="1:69" s="1" customFormat="1" ht="40" customHeight="1" x14ac:dyDescent="0.35">
      <c r="A14" s="3"/>
      <c r="B14" s="229"/>
      <c r="C14" s="106" t="s">
        <v>51</v>
      </c>
      <c r="D14" s="118">
        <v>2</v>
      </c>
      <c r="E14" s="118"/>
      <c r="F14" s="23"/>
      <c r="G14" s="79"/>
      <c r="H14" s="248"/>
      <c r="I14" s="188">
        <v>44900</v>
      </c>
      <c r="J14" s="188">
        <v>44915</v>
      </c>
      <c r="K14" s="191">
        <f>'2023 TM Planner '!$J14-'2023 TM Planner '!$I14</f>
        <v>15</v>
      </c>
      <c r="L14" s="7"/>
      <c r="M14" s="143"/>
      <c r="N14" s="4"/>
      <c r="O14" s="4"/>
      <c r="P14" s="42"/>
      <c r="Q14" s="20"/>
      <c r="R14" s="20"/>
      <c r="S14" s="20"/>
      <c r="T14" s="42"/>
      <c r="U14" s="19"/>
      <c r="V14" s="19"/>
      <c r="W14" s="19"/>
      <c r="X14" s="42"/>
      <c r="Y14" s="19"/>
      <c r="Z14" s="4"/>
      <c r="AA14" s="4"/>
      <c r="AB14" s="42"/>
      <c r="AC14" s="46"/>
      <c r="AD14" s="4"/>
      <c r="AE14" s="4"/>
      <c r="AF14" s="42"/>
      <c r="AG14" s="46"/>
      <c r="AH14" s="4"/>
      <c r="AI14" s="4"/>
      <c r="AJ14" s="42"/>
      <c r="AK14" s="46"/>
      <c r="AL14" s="4"/>
      <c r="AM14" s="4"/>
      <c r="AN14" s="42"/>
      <c r="AO14" s="46"/>
      <c r="AP14" s="4"/>
      <c r="AQ14" s="4"/>
      <c r="AR14" s="42"/>
      <c r="AS14" s="46"/>
      <c r="AT14" s="4"/>
      <c r="AU14" s="4"/>
      <c r="AV14" s="42"/>
      <c r="AW14" s="46"/>
      <c r="AX14" s="4"/>
      <c r="AY14" s="4"/>
      <c r="AZ14" s="42"/>
      <c r="BA14" s="46"/>
      <c r="BB14" s="4"/>
      <c r="BC14" s="4"/>
      <c r="BD14" s="42"/>
      <c r="BE14" s="46"/>
      <c r="BF14" s="4"/>
      <c r="BG14" s="4"/>
      <c r="BH14" s="42"/>
      <c r="BI14" s="46"/>
      <c r="BJ14" s="4"/>
      <c r="BK14" s="4"/>
      <c r="BL14" s="42"/>
      <c r="BM14" s="46"/>
      <c r="BN14" s="4"/>
      <c r="BO14" s="4"/>
      <c r="BP14" s="42"/>
    </row>
    <row r="15" spans="1:69" s="1" customFormat="1" ht="40" customHeight="1" x14ac:dyDescent="0.35">
      <c r="A15" s="3"/>
      <c r="B15" s="229"/>
      <c r="C15" s="86" t="s">
        <v>52</v>
      </c>
      <c r="D15" s="117">
        <v>2</v>
      </c>
      <c r="E15" s="117">
        <v>2</v>
      </c>
      <c r="F15" s="77"/>
      <c r="G15" s="144"/>
      <c r="H15" s="248"/>
      <c r="I15" s="182">
        <v>44900</v>
      </c>
      <c r="J15" s="182">
        <v>44915</v>
      </c>
      <c r="K15" s="183">
        <f>'2023 TM Planner '!$J15-'2023 TM Planner '!$I15</f>
        <v>15</v>
      </c>
      <c r="L15" s="7"/>
      <c r="M15" s="143"/>
      <c r="N15" s="4"/>
      <c r="O15" s="4"/>
      <c r="P15" s="42"/>
      <c r="Q15" s="20"/>
      <c r="R15" s="20"/>
      <c r="S15" s="20"/>
      <c r="T15" s="42"/>
      <c r="U15" s="19"/>
      <c r="V15" s="19"/>
      <c r="W15" s="19"/>
      <c r="X15" s="42"/>
      <c r="Y15" s="39"/>
      <c r="Z15" s="34"/>
      <c r="AA15" s="34"/>
      <c r="AB15" s="42"/>
      <c r="AC15" s="47"/>
      <c r="AD15" s="34"/>
      <c r="AE15" s="34"/>
      <c r="AF15" s="43"/>
      <c r="AG15" s="46"/>
      <c r="AH15" s="4"/>
      <c r="AI15" s="4"/>
      <c r="AJ15" s="42"/>
      <c r="AK15" s="46"/>
      <c r="AL15" s="4"/>
      <c r="AM15" s="4"/>
      <c r="AN15" s="42"/>
      <c r="AO15" s="46"/>
      <c r="AP15" s="4"/>
      <c r="AQ15" s="4"/>
      <c r="AR15" s="42"/>
      <c r="AS15" s="46"/>
      <c r="AT15" s="4"/>
      <c r="AU15" s="4"/>
      <c r="AV15" s="42"/>
      <c r="AW15" s="46"/>
      <c r="AX15" s="4"/>
      <c r="AY15" s="4"/>
      <c r="AZ15" s="42"/>
      <c r="BA15" s="46"/>
      <c r="BB15" s="4"/>
      <c r="BC15" s="4"/>
      <c r="BD15" s="42"/>
      <c r="BE15" s="46"/>
      <c r="BF15" s="4"/>
      <c r="BG15" s="4"/>
      <c r="BH15" s="42"/>
      <c r="BI15" s="46"/>
      <c r="BJ15" s="4"/>
      <c r="BK15" s="4"/>
      <c r="BL15" s="42"/>
      <c r="BM15" s="46"/>
      <c r="BN15" s="4"/>
      <c r="BO15" s="4"/>
      <c r="BP15" s="42"/>
    </row>
    <row r="16" spans="1:69" s="1" customFormat="1" ht="40" customHeight="1" x14ac:dyDescent="0.35">
      <c r="A16" s="3"/>
      <c r="B16" s="229"/>
      <c r="C16" s="107" t="s">
        <v>22</v>
      </c>
      <c r="D16" s="118">
        <v>2</v>
      </c>
      <c r="E16" s="118">
        <v>2</v>
      </c>
      <c r="F16" s="118"/>
      <c r="G16" s="79"/>
      <c r="H16" s="248"/>
      <c r="I16" s="188">
        <v>44928</v>
      </c>
      <c r="J16" s="188">
        <v>44946</v>
      </c>
      <c r="K16" s="191">
        <f>'2023 TM Planner '!$J16-'2023 TM Planner '!$I16</f>
        <v>18</v>
      </c>
      <c r="L16" s="7"/>
      <c r="M16" s="143"/>
      <c r="N16" s="4"/>
      <c r="O16" s="4"/>
      <c r="P16" s="42"/>
      <c r="Q16" s="19"/>
      <c r="R16" s="4"/>
      <c r="S16" s="4"/>
      <c r="T16" s="42"/>
      <c r="U16" s="53"/>
      <c r="V16" s="20"/>
      <c r="W16" s="20"/>
      <c r="X16" s="42"/>
      <c r="Y16" s="39"/>
      <c r="Z16" s="34"/>
      <c r="AA16" s="34"/>
      <c r="AB16" s="42"/>
      <c r="AC16" s="47"/>
      <c r="AD16" s="34"/>
      <c r="AE16" s="34"/>
      <c r="AF16" s="43"/>
      <c r="AG16" s="46"/>
      <c r="AH16" s="4"/>
      <c r="AI16" s="4"/>
      <c r="AJ16" s="42"/>
      <c r="AK16" s="46"/>
      <c r="AL16" s="4"/>
      <c r="AM16" s="4"/>
      <c r="AN16" s="42"/>
      <c r="AO16" s="46"/>
      <c r="AP16" s="4"/>
      <c r="AQ16" s="4"/>
      <c r="AR16" s="42"/>
      <c r="AS16" s="46"/>
      <c r="AT16" s="4"/>
      <c r="AU16" s="4"/>
      <c r="AV16" s="42"/>
      <c r="AW16" s="46"/>
      <c r="AX16" s="4"/>
      <c r="AY16" s="4"/>
      <c r="AZ16" s="42"/>
      <c r="BA16" s="46"/>
      <c r="BB16" s="4"/>
      <c r="BC16" s="4"/>
      <c r="BD16" s="42"/>
      <c r="BE16" s="46"/>
      <c r="BF16" s="4"/>
      <c r="BG16" s="4"/>
      <c r="BH16" s="42"/>
      <c r="BI16" s="46"/>
      <c r="BJ16" s="4"/>
      <c r="BK16" s="4"/>
      <c r="BL16" s="42"/>
      <c r="BM16" s="46"/>
      <c r="BN16" s="4"/>
      <c r="BO16" s="4"/>
      <c r="BP16" s="42"/>
    </row>
    <row r="17" spans="1:68" s="1" customFormat="1" ht="40" customHeight="1" x14ac:dyDescent="0.35">
      <c r="A17" s="3"/>
      <c r="B17" s="229"/>
      <c r="C17" s="86" t="s">
        <v>24</v>
      </c>
      <c r="D17" s="77" t="s">
        <v>21</v>
      </c>
      <c r="E17" s="77"/>
      <c r="F17" s="77"/>
      <c r="G17" s="117">
        <v>2</v>
      </c>
      <c r="H17" s="248"/>
      <c r="I17" s="264">
        <v>44900</v>
      </c>
      <c r="J17" s="176">
        <v>44957</v>
      </c>
      <c r="K17" s="78">
        <f>J17-I17</f>
        <v>57</v>
      </c>
      <c r="L17" s="7"/>
      <c r="M17" s="143"/>
      <c r="N17" s="4"/>
      <c r="O17" s="4"/>
      <c r="P17" s="42"/>
      <c r="Q17" s="61"/>
      <c r="R17" s="61"/>
      <c r="S17" s="61"/>
      <c r="T17" s="61"/>
      <c r="U17" s="61"/>
      <c r="V17" s="61"/>
      <c r="W17" s="61"/>
      <c r="X17" s="62"/>
      <c r="Y17" s="39"/>
      <c r="Z17" s="39"/>
      <c r="AA17" s="34"/>
      <c r="AB17" s="42"/>
      <c r="AC17" s="47"/>
      <c r="AD17" s="34"/>
      <c r="AE17" s="34"/>
      <c r="AF17" s="43"/>
      <c r="AG17" s="46"/>
      <c r="AH17" s="4"/>
      <c r="AI17" s="4"/>
      <c r="AJ17" s="42"/>
      <c r="AK17" s="46"/>
      <c r="AL17" s="4"/>
      <c r="AM17" s="4"/>
      <c r="AN17" s="42"/>
      <c r="AO17" s="46"/>
      <c r="AP17" s="4"/>
      <c r="AQ17" s="4"/>
      <c r="AR17" s="42"/>
      <c r="AS17" s="46"/>
      <c r="AT17" s="4"/>
      <c r="AU17" s="4"/>
      <c r="AV17" s="42"/>
      <c r="AW17" s="46"/>
      <c r="AX17" s="4"/>
      <c r="AY17" s="4"/>
      <c r="AZ17" s="42"/>
      <c r="BA17" s="46"/>
      <c r="BB17" s="4"/>
      <c r="BC17" s="4"/>
      <c r="BD17" s="42"/>
      <c r="BE17" s="46"/>
      <c r="BF17" s="4"/>
      <c r="BG17" s="4"/>
      <c r="BH17" s="42"/>
      <c r="BI17" s="46"/>
      <c r="BJ17" s="4"/>
      <c r="BK17" s="4"/>
      <c r="BL17" s="42"/>
      <c r="BM17" s="46"/>
      <c r="BN17" s="4"/>
      <c r="BO17" s="4"/>
      <c r="BP17" s="42"/>
    </row>
    <row r="18" spans="1:68" s="1" customFormat="1" ht="40" customHeight="1" x14ac:dyDescent="0.35">
      <c r="A18" s="3"/>
      <c r="B18" s="229"/>
      <c r="C18" s="107" t="s">
        <v>25</v>
      </c>
      <c r="D18" s="23" t="s">
        <v>21</v>
      </c>
      <c r="E18" s="23"/>
      <c r="F18" s="118">
        <v>2</v>
      </c>
      <c r="G18" s="118">
        <v>2</v>
      </c>
      <c r="H18" s="248"/>
      <c r="I18" s="188">
        <v>44896</v>
      </c>
      <c r="J18" s="188">
        <v>44957</v>
      </c>
      <c r="K18" s="191">
        <f>J18-I18</f>
        <v>61</v>
      </c>
      <c r="L18" s="7"/>
      <c r="M18" s="143"/>
      <c r="N18" s="4"/>
      <c r="O18" s="4"/>
      <c r="P18" s="42"/>
      <c r="Q18" s="61"/>
      <c r="R18" s="61"/>
      <c r="S18" s="61"/>
      <c r="T18" s="61"/>
      <c r="U18" s="61"/>
      <c r="V18" s="61"/>
      <c r="W18" s="61"/>
      <c r="X18" s="62"/>
      <c r="Y18" s="39"/>
      <c r="Z18" s="39"/>
      <c r="AA18" s="34"/>
      <c r="AB18" s="42"/>
      <c r="AC18" s="47"/>
      <c r="AD18" s="34"/>
      <c r="AE18" s="34"/>
      <c r="AF18" s="43"/>
      <c r="AG18" s="46"/>
      <c r="AH18" s="4"/>
      <c r="AI18" s="4"/>
      <c r="AJ18" s="42"/>
      <c r="AK18" s="46"/>
      <c r="AL18" s="4"/>
      <c r="AM18" s="4"/>
      <c r="AN18" s="42"/>
      <c r="AO18" s="46"/>
      <c r="AP18" s="4"/>
      <c r="AQ18" s="4"/>
      <c r="AR18" s="42"/>
      <c r="AS18" s="46"/>
      <c r="AT18" s="4"/>
      <c r="AU18" s="4"/>
      <c r="AV18" s="42"/>
      <c r="AW18" s="46"/>
      <c r="AX18" s="4"/>
      <c r="AY18" s="4"/>
      <c r="AZ18" s="42"/>
      <c r="BA18" s="46"/>
      <c r="BB18" s="4"/>
      <c r="BC18" s="4"/>
      <c r="BD18" s="42"/>
      <c r="BE18" s="46"/>
      <c r="BF18" s="4"/>
      <c r="BG18" s="4"/>
      <c r="BH18" s="42"/>
      <c r="BI18" s="46"/>
      <c r="BJ18" s="4"/>
      <c r="BK18" s="4"/>
      <c r="BL18" s="42"/>
      <c r="BM18" s="46"/>
      <c r="BN18" s="4"/>
      <c r="BO18" s="4"/>
      <c r="BP18" s="42"/>
    </row>
    <row r="19" spans="1:68" s="1" customFormat="1" ht="40" customHeight="1" x14ac:dyDescent="0.35">
      <c r="A19" s="3"/>
      <c r="B19" s="224"/>
      <c r="C19" s="86" t="s">
        <v>50</v>
      </c>
      <c r="D19" s="77"/>
      <c r="E19" s="77"/>
      <c r="F19" s="117">
        <v>2</v>
      </c>
      <c r="G19" s="117"/>
      <c r="H19" s="248"/>
      <c r="I19" s="176">
        <v>44896</v>
      </c>
      <c r="J19" s="264">
        <v>44957</v>
      </c>
      <c r="K19" s="78">
        <f>J19-I19</f>
        <v>61</v>
      </c>
      <c r="L19" s="7"/>
      <c r="M19" s="143"/>
      <c r="N19" s="4"/>
      <c r="O19" s="4"/>
      <c r="P19" s="42"/>
      <c r="Q19" s="61"/>
      <c r="R19" s="61"/>
      <c r="S19" s="61"/>
      <c r="T19" s="61"/>
      <c r="U19" s="61"/>
      <c r="V19" s="61"/>
      <c r="W19" s="61"/>
      <c r="X19" s="61"/>
      <c r="Y19" s="61"/>
      <c r="Z19" s="61"/>
      <c r="AA19" s="34"/>
      <c r="AB19" s="42"/>
      <c r="AC19" s="47"/>
      <c r="AD19" s="34"/>
      <c r="AE19" s="34"/>
      <c r="AF19" s="43"/>
      <c r="AG19" s="46"/>
      <c r="AH19" s="4"/>
      <c r="AI19" s="4"/>
      <c r="AJ19" s="42"/>
      <c r="AK19" s="46"/>
      <c r="AL19" s="4"/>
      <c r="AM19" s="4"/>
      <c r="AN19" s="42"/>
      <c r="AO19" s="46"/>
      <c r="AP19" s="4"/>
      <c r="AQ19" s="4"/>
      <c r="AR19" s="42"/>
      <c r="AS19" s="46"/>
      <c r="AT19" s="4"/>
      <c r="AU19" s="4"/>
      <c r="AV19" s="42"/>
      <c r="AW19" s="46"/>
      <c r="AX19" s="4"/>
      <c r="AY19" s="4"/>
      <c r="AZ19" s="42"/>
      <c r="BA19" s="46"/>
      <c r="BB19" s="4"/>
      <c r="BC19" s="4"/>
      <c r="BD19" s="42"/>
      <c r="BE19" s="46"/>
      <c r="BF19" s="4"/>
      <c r="BG19" s="4"/>
      <c r="BH19" s="42"/>
      <c r="BI19" s="46"/>
      <c r="BJ19" s="4"/>
      <c r="BK19" s="4"/>
      <c r="BL19" s="42"/>
      <c r="BM19" s="46"/>
      <c r="BN19" s="4"/>
      <c r="BO19" s="4"/>
      <c r="BP19" s="42"/>
    </row>
    <row r="20" spans="1:68" s="1" customFormat="1" ht="8.5" customHeight="1" x14ac:dyDescent="0.35">
      <c r="A20" s="3"/>
      <c r="B20" s="137"/>
      <c r="C20" s="138"/>
      <c r="D20" s="139"/>
      <c r="E20" s="139"/>
      <c r="F20" s="140"/>
      <c r="G20" s="140"/>
      <c r="H20" s="134"/>
      <c r="I20" s="192"/>
      <c r="J20" s="192"/>
      <c r="K20" s="141"/>
      <c r="L20" s="7"/>
      <c r="M20" s="143"/>
      <c r="N20" s="4"/>
      <c r="O20" s="4"/>
      <c r="P20" s="42"/>
      <c r="Q20" s="39"/>
      <c r="R20" s="34"/>
      <c r="S20" s="34"/>
      <c r="T20" s="50"/>
      <c r="U20" s="47"/>
      <c r="V20" s="34"/>
      <c r="W20" s="34"/>
      <c r="X20" s="43"/>
      <c r="Y20" s="47"/>
      <c r="Z20" s="34"/>
      <c r="AA20" s="34"/>
      <c r="AB20" s="42"/>
      <c r="AC20" s="47"/>
      <c r="AD20" s="34"/>
      <c r="AE20" s="34"/>
      <c r="AF20" s="43"/>
      <c r="AG20" s="46"/>
      <c r="AH20" s="4"/>
      <c r="AI20" s="4"/>
      <c r="AJ20" s="42"/>
      <c r="AK20" s="46"/>
      <c r="AL20" s="4"/>
      <c r="AM20" s="4"/>
      <c r="AN20" s="42"/>
      <c r="AO20" s="46"/>
      <c r="AP20" s="4"/>
      <c r="AQ20" s="4"/>
      <c r="AR20" s="42"/>
      <c r="AS20" s="46"/>
      <c r="AT20" s="4"/>
      <c r="AU20" s="4"/>
      <c r="AV20" s="42"/>
      <c r="AW20" s="46"/>
      <c r="AX20" s="4"/>
      <c r="AY20" s="4"/>
      <c r="AZ20" s="42"/>
      <c r="BA20" s="46"/>
      <c r="BB20" s="4"/>
      <c r="BC20" s="4"/>
      <c r="BD20" s="42"/>
      <c r="BE20" s="46"/>
      <c r="BF20" s="4"/>
      <c r="BG20" s="4"/>
      <c r="BH20" s="42"/>
      <c r="BI20" s="46"/>
      <c r="BJ20" s="4"/>
      <c r="BK20" s="4"/>
      <c r="BL20" s="42"/>
      <c r="BM20" s="46"/>
      <c r="BN20" s="4"/>
      <c r="BO20" s="4"/>
      <c r="BP20" s="42"/>
    </row>
    <row r="21" spans="1:68" s="1" customFormat="1" ht="40" customHeight="1" x14ac:dyDescent="0.35">
      <c r="A21" s="3"/>
      <c r="B21" s="229" t="s">
        <v>2</v>
      </c>
      <c r="C21" s="100" t="s">
        <v>47</v>
      </c>
      <c r="D21" s="119">
        <v>2</v>
      </c>
      <c r="E21" s="119">
        <v>2</v>
      </c>
      <c r="F21" s="119"/>
      <c r="G21" s="119"/>
      <c r="H21" s="230" t="s">
        <v>18</v>
      </c>
      <c r="I21" s="180">
        <v>44941</v>
      </c>
      <c r="J21" s="180">
        <v>44957</v>
      </c>
      <c r="K21" s="146">
        <f>J21-I21</f>
        <v>16</v>
      </c>
      <c r="L21" s="7"/>
      <c r="M21" s="143"/>
      <c r="N21" s="4"/>
      <c r="O21" s="4"/>
      <c r="P21" s="42"/>
      <c r="Q21" s="66"/>
      <c r="R21" s="42"/>
      <c r="S21" s="42"/>
      <c r="T21" s="150"/>
      <c r="U21" s="66"/>
      <c r="V21" s="33"/>
      <c r="W21" s="61"/>
      <c r="X21" s="61"/>
      <c r="Y21" s="47"/>
      <c r="Z21" s="34"/>
      <c r="AA21" s="34"/>
      <c r="AB21" s="42"/>
      <c r="AC21" s="47"/>
      <c r="AD21" s="34"/>
      <c r="AE21" s="34"/>
      <c r="AF21" s="43"/>
      <c r="AG21" s="46"/>
      <c r="AH21" s="4"/>
      <c r="AI21" s="4"/>
      <c r="AJ21" s="42"/>
      <c r="AK21" s="46"/>
      <c r="AL21" s="4"/>
      <c r="AM21" s="4"/>
      <c r="AN21" s="42"/>
      <c r="AO21" s="46"/>
      <c r="AP21" s="4"/>
      <c r="AQ21" s="4"/>
      <c r="AR21" s="42"/>
      <c r="AS21" s="46"/>
      <c r="AT21" s="4"/>
      <c r="AU21" s="4"/>
      <c r="AV21" s="42"/>
      <c r="AW21" s="46"/>
      <c r="AX21" s="4"/>
      <c r="AY21" s="4"/>
      <c r="AZ21" s="42"/>
      <c r="BA21" s="46"/>
      <c r="BB21" s="4"/>
      <c r="BC21" s="4"/>
      <c r="BD21" s="42"/>
      <c r="BE21" s="46"/>
      <c r="BF21" s="4"/>
      <c r="BG21" s="4"/>
      <c r="BH21" s="42"/>
      <c r="BI21" s="46"/>
      <c r="BJ21" s="4"/>
      <c r="BK21" s="4"/>
      <c r="BL21" s="42"/>
      <c r="BM21" s="46"/>
      <c r="BN21" s="4"/>
      <c r="BO21" s="4"/>
      <c r="BP21" s="42"/>
    </row>
    <row r="22" spans="1:68" s="1" customFormat="1" ht="40" customHeight="1" x14ac:dyDescent="0.35">
      <c r="A22" s="3"/>
      <c r="B22" s="229"/>
      <c r="C22" s="108" t="s">
        <v>26</v>
      </c>
      <c r="D22" s="77" t="s">
        <v>21</v>
      </c>
      <c r="E22" s="117">
        <v>2</v>
      </c>
      <c r="F22" s="117">
        <v>2</v>
      </c>
      <c r="G22" s="77"/>
      <c r="H22" s="230"/>
      <c r="I22" s="193">
        <v>44941</v>
      </c>
      <c r="J22" s="193">
        <v>44957</v>
      </c>
      <c r="K22" s="194">
        <f>'2023 TM Planner '!$J22-'2023 TM Planner '!$I22</f>
        <v>16</v>
      </c>
      <c r="L22" s="7"/>
      <c r="M22" s="143"/>
      <c r="N22" s="4"/>
      <c r="O22" s="4"/>
      <c r="P22" s="42"/>
      <c r="Q22" s="19"/>
      <c r="R22" s="4"/>
      <c r="S22" s="4"/>
      <c r="T22" s="50"/>
      <c r="U22" s="54"/>
      <c r="V22" s="4"/>
      <c r="W22" s="61"/>
      <c r="X22" s="61"/>
      <c r="Y22" s="47"/>
      <c r="Z22" s="34"/>
      <c r="AA22" s="34"/>
      <c r="AB22" s="42"/>
      <c r="AC22" s="47"/>
      <c r="AD22" s="34"/>
      <c r="AE22" s="34"/>
      <c r="AF22" s="43"/>
      <c r="AG22" s="46"/>
      <c r="AH22" s="4"/>
      <c r="AI22" s="4"/>
      <c r="AJ22" s="42"/>
      <c r="AK22" s="46"/>
      <c r="AL22" s="4"/>
      <c r="AM22" s="4"/>
      <c r="AN22" s="42"/>
      <c r="AO22" s="46"/>
      <c r="AP22" s="4"/>
      <c r="AQ22" s="4"/>
      <c r="AR22" s="42"/>
      <c r="AS22" s="46"/>
      <c r="AT22" s="4"/>
      <c r="AU22" s="4"/>
      <c r="AV22" s="42"/>
      <c r="AW22" s="46"/>
      <c r="AX22" s="4"/>
      <c r="AY22" s="4"/>
      <c r="AZ22" s="42"/>
      <c r="BA22" s="46"/>
      <c r="BB22" s="4"/>
      <c r="BC22" s="4"/>
      <c r="BD22" s="42"/>
      <c r="BE22" s="46"/>
      <c r="BF22" s="4"/>
      <c r="BG22" s="4"/>
      <c r="BH22" s="42"/>
      <c r="BI22" s="46"/>
      <c r="BJ22" s="4"/>
      <c r="BK22" s="4"/>
      <c r="BL22" s="42"/>
      <c r="BM22" s="46"/>
      <c r="BN22" s="4"/>
      <c r="BO22" s="4"/>
      <c r="BP22" s="42"/>
    </row>
    <row r="23" spans="1:68" s="1" customFormat="1" ht="40" customHeight="1" x14ac:dyDescent="0.35">
      <c r="A23" s="2"/>
      <c r="B23" s="229"/>
      <c r="C23" s="107" t="s">
        <v>42</v>
      </c>
      <c r="D23" s="23" t="s">
        <v>21</v>
      </c>
      <c r="E23" s="118">
        <v>2</v>
      </c>
      <c r="F23" s="118"/>
      <c r="G23" s="23"/>
      <c r="H23" s="230"/>
      <c r="I23" s="188">
        <v>44958</v>
      </c>
      <c r="J23" s="188">
        <v>44972</v>
      </c>
      <c r="K23" s="191">
        <f>'2023 TM Planner '!$J23-'2023 TM Planner '!$I23</f>
        <v>14</v>
      </c>
      <c r="L23" s="7"/>
      <c r="M23" s="143"/>
      <c r="N23" s="4"/>
      <c r="O23" s="4"/>
      <c r="P23" s="42"/>
      <c r="Q23" s="19"/>
      <c r="R23" s="4"/>
      <c r="S23" s="4"/>
      <c r="T23" s="50"/>
      <c r="U23" s="54"/>
      <c r="V23" s="4"/>
      <c r="W23" s="4"/>
      <c r="X23" s="50"/>
      <c r="Y23" s="61"/>
      <c r="Z23" s="61"/>
      <c r="AA23" s="43"/>
      <c r="AB23" s="42"/>
      <c r="AC23" s="47"/>
      <c r="AD23" s="34"/>
      <c r="AE23" s="34"/>
      <c r="AF23" s="43"/>
      <c r="AG23" s="46"/>
      <c r="AH23" s="4"/>
      <c r="AI23" s="4"/>
      <c r="AJ23" s="42"/>
      <c r="AK23" s="46"/>
      <c r="AL23" s="4"/>
      <c r="AM23" s="4"/>
      <c r="AN23" s="42"/>
      <c r="AO23" s="46"/>
      <c r="AP23" s="4"/>
      <c r="AQ23" s="4"/>
      <c r="AR23" s="42"/>
      <c r="AS23" s="46"/>
      <c r="AT23" s="4"/>
      <c r="AU23" s="4"/>
      <c r="AV23" s="42"/>
      <c r="AW23" s="46"/>
      <c r="AX23" s="4"/>
      <c r="AY23" s="4"/>
      <c r="AZ23" s="42"/>
      <c r="BA23" s="46"/>
      <c r="BB23" s="4"/>
      <c r="BC23" s="4"/>
      <c r="BD23" s="42"/>
      <c r="BE23" s="46"/>
      <c r="BF23" s="4"/>
      <c r="BG23" s="4"/>
      <c r="BH23" s="42"/>
      <c r="BI23" s="46"/>
      <c r="BJ23" s="4"/>
      <c r="BK23" s="4"/>
      <c r="BL23" s="42"/>
      <c r="BM23" s="46"/>
      <c r="BN23" s="4"/>
      <c r="BO23" s="4"/>
      <c r="BP23" s="42"/>
    </row>
    <row r="24" spans="1:68" s="1" customFormat="1" ht="40" customHeight="1" x14ac:dyDescent="0.35">
      <c r="A24" s="2"/>
      <c r="B24" s="229"/>
      <c r="C24" s="86" t="s">
        <v>53</v>
      </c>
      <c r="D24" s="77"/>
      <c r="E24" s="117">
        <v>2</v>
      </c>
      <c r="F24" s="117">
        <v>2</v>
      </c>
      <c r="G24" s="77"/>
      <c r="H24" s="230"/>
      <c r="I24" s="182">
        <v>44972</v>
      </c>
      <c r="J24" s="182">
        <v>44985</v>
      </c>
      <c r="K24" s="183">
        <f>'2023 TM Planner '!$J24-'2023 TM Planner '!$I24</f>
        <v>13</v>
      </c>
      <c r="L24" s="7"/>
      <c r="M24" s="143"/>
      <c r="N24" s="4"/>
      <c r="O24" s="4"/>
      <c r="P24" s="42"/>
      <c r="Q24" s="19"/>
      <c r="R24" s="4"/>
      <c r="S24" s="4"/>
      <c r="T24" s="50"/>
      <c r="U24" s="54"/>
      <c r="V24" s="4"/>
      <c r="W24" s="4"/>
      <c r="X24" s="50"/>
      <c r="Y24" s="19"/>
      <c r="Z24" s="19"/>
      <c r="AA24" s="61"/>
      <c r="AB24" s="42"/>
      <c r="AC24" s="47"/>
      <c r="AD24" s="34"/>
      <c r="AE24" s="34"/>
      <c r="AF24" s="43"/>
      <c r="AG24" s="46"/>
      <c r="AH24" s="4"/>
      <c r="AI24" s="4"/>
      <c r="AJ24" s="42"/>
      <c r="AK24" s="46"/>
      <c r="AL24" s="4"/>
      <c r="AM24" s="4"/>
      <c r="AN24" s="42"/>
      <c r="AO24" s="46"/>
      <c r="AP24" s="4"/>
      <c r="AQ24" s="4"/>
      <c r="AR24" s="42"/>
      <c r="AS24" s="46"/>
      <c r="AT24" s="4"/>
      <c r="AU24" s="4"/>
      <c r="AV24" s="42"/>
      <c r="AW24" s="46"/>
      <c r="AX24" s="4"/>
      <c r="AY24" s="4"/>
      <c r="AZ24" s="42"/>
      <c r="BA24" s="46"/>
      <c r="BB24" s="4"/>
      <c r="BC24" s="4"/>
      <c r="BD24" s="42"/>
      <c r="BE24" s="46"/>
      <c r="BF24" s="4"/>
      <c r="BG24" s="4"/>
      <c r="BH24" s="42"/>
      <c r="BI24" s="46"/>
      <c r="BJ24" s="4"/>
      <c r="BK24" s="4"/>
      <c r="BL24" s="42"/>
      <c r="BM24" s="46"/>
      <c r="BN24" s="4"/>
      <c r="BO24" s="4"/>
      <c r="BP24" s="42"/>
    </row>
    <row r="25" spans="1:68" s="1" customFormat="1" ht="40" customHeight="1" x14ac:dyDescent="0.35">
      <c r="A25" s="2"/>
      <c r="B25" s="229"/>
      <c r="C25" s="100" t="s">
        <v>41</v>
      </c>
      <c r="D25" s="119">
        <v>2</v>
      </c>
      <c r="E25" s="147"/>
      <c r="F25" s="119"/>
      <c r="G25" s="80"/>
      <c r="H25" s="230"/>
      <c r="I25" s="189">
        <v>44986</v>
      </c>
      <c r="J25" s="189">
        <v>44986</v>
      </c>
      <c r="K25" s="190">
        <v>1</v>
      </c>
      <c r="L25" s="7"/>
      <c r="M25" s="143"/>
      <c r="N25" s="4"/>
      <c r="O25" s="4"/>
      <c r="P25" s="42"/>
      <c r="Q25" s="19"/>
      <c r="R25" s="4"/>
      <c r="S25" s="4"/>
      <c r="T25" s="50"/>
      <c r="U25" s="54"/>
      <c r="V25" s="4"/>
      <c r="W25" s="4"/>
      <c r="X25" s="50"/>
      <c r="Y25" s="19"/>
      <c r="Z25" s="4"/>
      <c r="AA25" s="4"/>
      <c r="AB25" s="42"/>
      <c r="AC25" s="126"/>
      <c r="AD25" s="34"/>
      <c r="AE25" s="4"/>
      <c r="AF25" s="42"/>
      <c r="AG25" s="46"/>
      <c r="AH25" s="4"/>
      <c r="AI25" s="4"/>
      <c r="AJ25" s="42"/>
      <c r="AK25" s="46"/>
      <c r="AL25" s="4"/>
      <c r="AM25" s="4"/>
      <c r="AN25" s="42"/>
      <c r="AO25" s="46"/>
      <c r="AP25" s="4"/>
      <c r="AQ25" s="4"/>
      <c r="AR25" s="42"/>
      <c r="AS25" s="46"/>
      <c r="AT25" s="4"/>
      <c r="AU25" s="4"/>
      <c r="AV25" s="42"/>
      <c r="AW25" s="46"/>
      <c r="AX25" s="4"/>
      <c r="AY25" s="4"/>
      <c r="AZ25" s="42"/>
      <c r="BA25" s="46"/>
      <c r="BB25" s="4"/>
      <c r="BC25" s="4"/>
      <c r="BD25" s="42"/>
      <c r="BE25" s="46"/>
      <c r="BF25" s="4"/>
      <c r="BG25" s="4"/>
      <c r="BH25" s="42"/>
      <c r="BI25" s="46"/>
      <c r="BJ25" s="4"/>
      <c r="BK25" s="4"/>
      <c r="BL25" s="42"/>
      <c r="BM25" s="46"/>
      <c r="BN25" s="4"/>
      <c r="BO25" s="4"/>
      <c r="BP25" s="42"/>
    </row>
    <row r="26" spans="1:68" s="1" customFormat="1" ht="59" customHeight="1" x14ac:dyDescent="0.35">
      <c r="A26" s="2"/>
      <c r="B26" s="224"/>
      <c r="C26" s="91" t="s">
        <v>40</v>
      </c>
      <c r="D26" s="77"/>
      <c r="E26" s="117">
        <v>2</v>
      </c>
      <c r="F26" s="77"/>
      <c r="G26" s="117">
        <v>2</v>
      </c>
      <c r="H26" s="231"/>
      <c r="I26" s="182">
        <v>44987</v>
      </c>
      <c r="J26" s="182">
        <v>45008</v>
      </c>
      <c r="K26" s="183">
        <f>'2023 TM Planner '!$J26-'2023 TM Planner '!$I26</f>
        <v>21</v>
      </c>
      <c r="L26" s="7"/>
      <c r="M26" s="143"/>
      <c r="N26" s="4"/>
      <c r="O26" s="4"/>
      <c r="P26" s="42"/>
      <c r="Q26" s="19"/>
      <c r="R26" s="4"/>
      <c r="S26" s="4"/>
      <c r="T26" s="50"/>
      <c r="U26" s="54"/>
      <c r="V26" s="4"/>
      <c r="W26" s="4"/>
      <c r="X26" s="50"/>
      <c r="Y26" s="19"/>
      <c r="Z26" s="4"/>
      <c r="AA26" s="4"/>
      <c r="AB26" s="42"/>
      <c r="AC26" s="61"/>
      <c r="AD26" s="61"/>
      <c r="AE26" s="61"/>
      <c r="AF26" s="42"/>
      <c r="AG26" s="46"/>
      <c r="AH26" s="4"/>
      <c r="AI26" s="4"/>
      <c r="AJ26" s="42"/>
      <c r="AK26" s="46"/>
      <c r="AL26" s="4"/>
      <c r="AM26" s="4"/>
      <c r="AN26" s="42"/>
      <c r="AO26" s="46"/>
      <c r="AP26" s="4"/>
      <c r="AQ26" s="4"/>
      <c r="AR26" s="42"/>
      <c r="AS26" s="46"/>
      <c r="AT26" s="4"/>
      <c r="AU26" s="4"/>
      <c r="AV26" s="42"/>
      <c r="AW26" s="46"/>
      <c r="AX26" s="4"/>
      <c r="AY26" s="4"/>
      <c r="AZ26" s="42"/>
      <c r="BA26" s="46"/>
      <c r="BB26" s="4"/>
      <c r="BC26" s="4"/>
      <c r="BD26" s="42"/>
      <c r="BE26" s="46"/>
      <c r="BF26" s="4"/>
      <c r="BG26" s="4"/>
      <c r="BH26" s="42"/>
      <c r="BI26" s="46"/>
      <c r="BJ26" s="4"/>
      <c r="BK26" s="4"/>
      <c r="BL26" s="42"/>
      <c r="BM26" s="46"/>
      <c r="BN26" s="4"/>
      <c r="BO26" s="4"/>
      <c r="BP26" s="42"/>
    </row>
    <row r="27" spans="1:68" s="1" customFormat="1" ht="8.5" customHeight="1" x14ac:dyDescent="0.35">
      <c r="A27" s="2"/>
      <c r="B27" s="95"/>
      <c r="C27" s="109"/>
      <c r="D27" s="87"/>
      <c r="E27" s="87"/>
      <c r="F27" s="87"/>
      <c r="G27" s="87"/>
      <c r="H27" s="132"/>
      <c r="I27" s="195"/>
      <c r="J27" s="195"/>
      <c r="K27" s="196"/>
      <c r="L27" s="7"/>
      <c r="M27" s="143"/>
      <c r="N27" s="4"/>
      <c r="O27" s="4"/>
      <c r="P27" s="42"/>
      <c r="Q27" s="19"/>
      <c r="R27" s="4"/>
      <c r="S27" s="4"/>
      <c r="T27" s="50"/>
      <c r="U27" s="54"/>
      <c r="V27" s="4"/>
      <c r="W27" s="4"/>
      <c r="X27" s="50"/>
      <c r="Y27" s="19"/>
      <c r="Z27" s="4"/>
      <c r="AA27" s="4"/>
      <c r="AB27" s="42"/>
      <c r="AC27" s="46"/>
      <c r="AD27" s="46"/>
      <c r="AE27" s="46"/>
      <c r="AF27" s="42"/>
      <c r="AG27" s="46"/>
      <c r="AH27" s="4"/>
      <c r="AI27" s="4"/>
      <c r="AJ27" s="42"/>
      <c r="AK27" s="46"/>
      <c r="AL27" s="4"/>
      <c r="AM27" s="4"/>
      <c r="AN27" s="42"/>
      <c r="AO27" s="46"/>
      <c r="AP27" s="4"/>
      <c r="AQ27" s="4"/>
      <c r="AR27" s="42"/>
      <c r="AS27" s="46"/>
      <c r="AT27" s="4"/>
      <c r="AU27" s="4"/>
      <c r="AV27" s="42"/>
      <c r="AW27" s="46"/>
      <c r="AX27" s="4"/>
      <c r="AY27" s="4"/>
      <c r="AZ27" s="42"/>
      <c r="BA27" s="46"/>
      <c r="BB27" s="4"/>
      <c r="BC27" s="4"/>
      <c r="BD27" s="42"/>
      <c r="BE27" s="46"/>
      <c r="BF27" s="4"/>
      <c r="BG27" s="4"/>
      <c r="BH27" s="42"/>
      <c r="BI27" s="46"/>
      <c r="BJ27" s="4"/>
      <c r="BK27" s="4"/>
      <c r="BL27" s="42"/>
      <c r="BM27" s="46"/>
      <c r="BN27" s="4"/>
      <c r="BO27" s="4"/>
      <c r="BP27" s="42"/>
    </row>
    <row r="28" spans="1:68" s="1" customFormat="1" ht="36" customHeight="1" x14ac:dyDescent="0.35">
      <c r="A28" s="2"/>
      <c r="B28" s="223" t="s">
        <v>4</v>
      </c>
      <c r="C28" s="100" t="s">
        <v>44</v>
      </c>
      <c r="D28" s="119">
        <v>2</v>
      </c>
      <c r="E28" s="99"/>
      <c r="F28" s="99"/>
      <c r="G28" s="99"/>
      <c r="H28" s="247" t="s">
        <v>35</v>
      </c>
      <c r="I28" s="197">
        <v>44928</v>
      </c>
      <c r="J28" s="263">
        <v>44928</v>
      </c>
      <c r="K28" s="198">
        <f>J28-I28</f>
        <v>0</v>
      </c>
      <c r="L28" s="7"/>
      <c r="M28" s="143"/>
      <c r="N28" s="4"/>
      <c r="O28" s="4"/>
      <c r="P28" s="42"/>
      <c r="Q28" s="19"/>
      <c r="R28" s="4"/>
      <c r="S28" s="4"/>
      <c r="T28" s="50"/>
      <c r="U28" s="129"/>
      <c r="V28" s="129"/>
      <c r="W28" s="129"/>
      <c r="X28" s="129"/>
      <c r="Y28" s="129"/>
      <c r="Z28" s="129"/>
      <c r="AA28" s="129"/>
      <c r="AB28" s="129"/>
      <c r="AC28" s="129"/>
      <c r="AD28" s="129"/>
      <c r="AE28" s="4"/>
      <c r="AF28" s="42"/>
      <c r="AG28" s="46"/>
      <c r="AH28" s="4"/>
      <c r="AI28" s="4"/>
      <c r="AJ28" s="42"/>
      <c r="AK28" s="46"/>
      <c r="AL28" s="4"/>
      <c r="AM28" s="4"/>
      <c r="AN28" s="42"/>
      <c r="AO28" s="46"/>
      <c r="AP28" s="4"/>
      <c r="AQ28" s="4"/>
      <c r="AR28" s="42"/>
      <c r="AS28" s="46"/>
      <c r="AT28" s="4"/>
      <c r="AU28" s="4"/>
      <c r="AV28" s="42"/>
      <c r="AW28" s="46"/>
      <c r="AX28" s="4"/>
      <c r="AY28" s="4"/>
      <c r="AZ28" s="42"/>
      <c r="BA28" s="46"/>
      <c r="BB28" s="4"/>
      <c r="BC28" s="4"/>
      <c r="BD28" s="42"/>
      <c r="BE28" s="46"/>
      <c r="BF28" s="4"/>
      <c r="BG28" s="4"/>
      <c r="BH28" s="42"/>
      <c r="BI28" s="46"/>
      <c r="BJ28" s="4"/>
      <c r="BK28" s="4"/>
      <c r="BL28" s="42"/>
      <c r="BM28" s="46"/>
      <c r="BN28" s="4"/>
      <c r="BO28" s="4"/>
      <c r="BP28" s="42"/>
    </row>
    <row r="29" spans="1:68" s="1" customFormat="1" ht="40" customHeight="1" x14ac:dyDescent="0.35">
      <c r="A29" s="2"/>
      <c r="B29" s="229"/>
      <c r="C29" s="86" t="s">
        <v>54</v>
      </c>
      <c r="D29" s="117">
        <v>2</v>
      </c>
      <c r="E29" s="77"/>
      <c r="F29" s="77"/>
      <c r="G29" s="77"/>
      <c r="H29" s="248"/>
      <c r="I29" s="182">
        <v>44949</v>
      </c>
      <c r="J29" s="182">
        <v>44956</v>
      </c>
      <c r="K29" s="183">
        <f>'2023 TM Planner '!$J29-'2023 TM Planner '!$I29</f>
        <v>7</v>
      </c>
      <c r="L29" s="7"/>
      <c r="M29" s="143"/>
      <c r="N29" s="4"/>
      <c r="O29" s="4"/>
      <c r="P29" s="42"/>
      <c r="Q29" s="19"/>
      <c r="R29" s="4"/>
      <c r="S29" s="4"/>
      <c r="T29" s="50"/>
      <c r="U29" s="55"/>
      <c r="V29" s="4"/>
      <c r="W29" s="4"/>
      <c r="X29" s="128"/>
      <c r="Y29" s="46"/>
      <c r="Z29" s="46"/>
      <c r="AA29" s="46"/>
      <c r="AB29" s="42"/>
      <c r="AC29" s="46"/>
      <c r="AD29" s="4"/>
      <c r="AE29" s="4"/>
      <c r="AF29" s="42"/>
      <c r="AG29" s="46"/>
      <c r="AH29" s="4"/>
      <c r="AI29" s="4"/>
      <c r="AJ29" s="42"/>
      <c r="AK29" s="46"/>
      <c r="AL29" s="4"/>
      <c r="AM29" s="4"/>
      <c r="AN29" s="42"/>
      <c r="AO29" s="46"/>
      <c r="AP29" s="4"/>
      <c r="AQ29" s="4"/>
      <c r="AR29" s="42"/>
      <c r="AS29" s="46"/>
      <c r="AT29" s="4"/>
      <c r="AU29" s="4"/>
      <c r="AV29" s="42"/>
      <c r="AW29" s="46"/>
      <c r="AX29" s="4"/>
      <c r="AY29" s="4"/>
      <c r="AZ29" s="42"/>
      <c r="BA29" s="46"/>
      <c r="BB29" s="4"/>
      <c r="BC29" s="4"/>
      <c r="BD29" s="42"/>
      <c r="BE29" s="46"/>
      <c r="BF29" s="4"/>
      <c r="BG29" s="4"/>
      <c r="BH29" s="42"/>
      <c r="BI29" s="46"/>
      <c r="BJ29" s="4"/>
      <c r="BK29" s="4"/>
      <c r="BL29" s="42"/>
      <c r="BM29" s="46"/>
      <c r="BN29" s="4"/>
      <c r="BO29" s="4"/>
      <c r="BP29" s="42"/>
    </row>
    <row r="30" spans="1:68" s="1" customFormat="1" ht="40" customHeight="1" x14ac:dyDescent="0.35">
      <c r="A30" s="2"/>
      <c r="B30" s="229"/>
      <c r="C30" s="107" t="s">
        <v>48</v>
      </c>
      <c r="D30" s="118">
        <v>2</v>
      </c>
      <c r="E30" s="118">
        <v>2</v>
      </c>
      <c r="F30" s="80"/>
      <c r="G30" s="80"/>
      <c r="H30" s="248"/>
      <c r="I30" s="189">
        <v>44952</v>
      </c>
      <c r="J30" s="189">
        <v>44967</v>
      </c>
      <c r="K30" s="190">
        <f>'2023 TM Planner '!$J30-'2023 TM Planner '!$I30</f>
        <v>15</v>
      </c>
      <c r="L30" s="7"/>
      <c r="M30" s="143"/>
      <c r="N30" s="4"/>
      <c r="O30" s="4"/>
      <c r="P30" s="42"/>
      <c r="Q30" s="19"/>
      <c r="R30" s="4"/>
      <c r="S30" s="4"/>
      <c r="T30" s="50"/>
      <c r="U30" s="54"/>
      <c r="V30" s="34"/>
      <c r="W30" s="4"/>
      <c r="X30" s="130"/>
      <c r="Y30" s="57"/>
      <c r="Z30" s="4"/>
      <c r="AA30" s="4"/>
      <c r="AB30" s="42"/>
      <c r="AC30" s="46"/>
      <c r="AD30" s="4"/>
      <c r="AE30" s="4"/>
      <c r="AF30" s="42"/>
      <c r="AG30" s="46"/>
      <c r="AH30" s="4"/>
      <c r="AI30" s="4"/>
      <c r="AJ30" s="42"/>
      <c r="AK30" s="46"/>
      <c r="AL30" s="4"/>
      <c r="AM30" s="4"/>
      <c r="AN30" s="42"/>
      <c r="AO30" s="46"/>
      <c r="AP30" s="4"/>
      <c r="AQ30" s="4"/>
      <c r="AR30" s="42"/>
      <c r="AS30" s="46"/>
      <c r="AT30" s="4"/>
      <c r="AU30" s="4"/>
      <c r="AV30" s="42"/>
      <c r="AW30" s="46"/>
      <c r="AX30" s="4"/>
      <c r="AY30" s="4"/>
      <c r="AZ30" s="42"/>
      <c r="BA30" s="46"/>
      <c r="BB30" s="4"/>
      <c r="BC30" s="4"/>
      <c r="BD30" s="42"/>
      <c r="BE30" s="46"/>
      <c r="BF30" s="4"/>
      <c r="BG30" s="4"/>
      <c r="BH30" s="42"/>
      <c r="BI30" s="46"/>
      <c r="BJ30" s="4"/>
      <c r="BK30" s="4"/>
      <c r="BL30" s="42"/>
      <c r="BM30" s="46"/>
      <c r="BN30" s="4"/>
      <c r="BO30" s="4"/>
      <c r="BP30" s="42"/>
    </row>
    <row r="31" spans="1:68" s="1" customFormat="1" ht="40" customHeight="1" x14ac:dyDescent="0.35">
      <c r="A31" s="2"/>
      <c r="B31" s="229"/>
      <c r="C31" s="86" t="s">
        <v>23</v>
      </c>
      <c r="D31" s="117">
        <v>2</v>
      </c>
      <c r="E31" s="117">
        <v>2</v>
      </c>
      <c r="F31" s="117">
        <v>2</v>
      </c>
      <c r="G31" s="77"/>
      <c r="H31" s="248"/>
      <c r="I31" s="182">
        <v>44952</v>
      </c>
      <c r="J31" s="182">
        <v>44972</v>
      </c>
      <c r="K31" s="183">
        <f>'2023 TM Planner '!$J31-'2023 TM Planner '!$I31</f>
        <v>20</v>
      </c>
      <c r="L31" s="7"/>
      <c r="M31" s="143"/>
      <c r="N31" s="4"/>
      <c r="O31" s="4"/>
      <c r="P31" s="42"/>
      <c r="Q31" s="19"/>
      <c r="R31" s="4"/>
      <c r="S31" s="4"/>
      <c r="T31" s="50"/>
      <c r="U31" s="54"/>
      <c r="V31" s="34"/>
      <c r="W31" s="4"/>
      <c r="X31" s="130"/>
      <c r="Y31" s="57"/>
      <c r="Z31" s="57"/>
      <c r="AA31" s="42"/>
      <c r="AB31" s="42"/>
      <c r="AC31" s="46"/>
      <c r="AD31" s="4"/>
      <c r="AE31" s="4"/>
      <c r="AF31" s="42"/>
      <c r="AG31" s="46"/>
      <c r="AH31" s="4"/>
      <c r="AI31" s="4"/>
      <c r="AJ31" s="42"/>
      <c r="AK31" s="46"/>
      <c r="AL31" s="4"/>
      <c r="AM31" s="4"/>
      <c r="AN31" s="42"/>
      <c r="AO31" s="46"/>
      <c r="AP31" s="4"/>
      <c r="AQ31" s="4"/>
      <c r="AR31" s="42"/>
      <c r="AS31" s="46"/>
      <c r="AT31" s="4"/>
      <c r="AU31" s="4"/>
      <c r="AV31" s="42"/>
      <c r="AW31" s="46"/>
      <c r="AX31" s="4"/>
      <c r="AY31" s="4"/>
      <c r="AZ31" s="42"/>
      <c r="BA31" s="46"/>
      <c r="BB31" s="4"/>
      <c r="BC31" s="4"/>
      <c r="BD31" s="42"/>
      <c r="BE31" s="46"/>
      <c r="BF31" s="4"/>
      <c r="BG31" s="4"/>
      <c r="BH31" s="42"/>
      <c r="BI31" s="46"/>
      <c r="BJ31" s="4"/>
      <c r="BK31" s="4"/>
      <c r="BL31" s="42"/>
      <c r="BM31" s="46"/>
      <c r="BN31" s="4"/>
      <c r="BO31" s="4"/>
      <c r="BP31" s="42"/>
    </row>
    <row r="32" spans="1:68" s="1" customFormat="1" ht="40" customHeight="1" x14ac:dyDescent="0.5">
      <c r="A32" s="2"/>
      <c r="B32" s="229"/>
      <c r="C32" s="100" t="s">
        <v>27</v>
      </c>
      <c r="D32" s="88" t="s">
        <v>21</v>
      </c>
      <c r="E32" s="88"/>
      <c r="F32" s="118">
        <v>2</v>
      </c>
      <c r="G32" s="118">
        <v>2</v>
      </c>
      <c r="H32" s="248"/>
      <c r="I32" s="189">
        <v>44928</v>
      </c>
      <c r="J32" s="189">
        <v>44985</v>
      </c>
      <c r="K32" s="190">
        <f>J32-I32</f>
        <v>57</v>
      </c>
      <c r="L32" s="7"/>
      <c r="M32" s="143"/>
      <c r="N32" s="4"/>
      <c r="O32" s="4"/>
      <c r="P32" s="42"/>
      <c r="Q32" s="19"/>
      <c r="R32" s="4"/>
      <c r="S32" s="4"/>
      <c r="T32" s="50"/>
      <c r="U32" s="61"/>
      <c r="V32" s="61"/>
      <c r="W32" s="61"/>
      <c r="X32" s="61"/>
      <c r="Y32" s="61"/>
      <c r="Z32" s="61"/>
      <c r="AA32" s="61"/>
      <c r="AB32" s="61"/>
      <c r="AC32" s="46"/>
      <c r="AD32" s="4"/>
      <c r="AE32" s="4"/>
      <c r="AF32" s="42"/>
      <c r="AG32" s="46"/>
      <c r="AH32" s="4"/>
      <c r="AI32" s="4"/>
      <c r="AJ32" s="42"/>
      <c r="AK32" s="46"/>
      <c r="AL32" s="4"/>
      <c r="AM32" s="4"/>
      <c r="AN32" s="42"/>
      <c r="AO32" s="46"/>
      <c r="AP32" s="4"/>
      <c r="AQ32" s="4"/>
      <c r="AR32" s="42"/>
      <c r="AS32" s="46"/>
      <c r="AT32" s="4"/>
      <c r="AU32" s="4"/>
      <c r="AV32" s="42"/>
      <c r="AW32" s="46"/>
      <c r="AX32" s="4"/>
      <c r="AY32" s="4"/>
      <c r="AZ32" s="42"/>
      <c r="BA32" s="46"/>
      <c r="BB32" s="4"/>
      <c r="BC32" s="4"/>
      <c r="BD32" s="42"/>
      <c r="BE32" s="46"/>
      <c r="BF32" s="4"/>
      <c r="BG32" s="4"/>
      <c r="BH32" s="42"/>
      <c r="BI32" s="46"/>
      <c r="BJ32" s="4"/>
      <c r="BK32" s="4"/>
      <c r="BL32" s="42"/>
      <c r="BM32" s="46"/>
      <c r="BN32" s="4"/>
      <c r="BO32" s="4"/>
      <c r="BP32" s="42"/>
    </row>
    <row r="33" spans="1:68" s="1" customFormat="1" ht="40" customHeight="1" x14ac:dyDescent="0.35">
      <c r="A33" s="2"/>
      <c r="B33" s="246"/>
      <c r="C33" s="86" t="s">
        <v>28</v>
      </c>
      <c r="D33" s="77"/>
      <c r="E33" s="77"/>
      <c r="F33" s="77"/>
      <c r="G33" s="117">
        <v>2</v>
      </c>
      <c r="H33" s="249"/>
      <c r="I33" s="182">
        <v>44928</v>
      </c>
      <c r="J33" s="182">
        <v>45000</v>
      </c>
      <c r="K33" s="183">
        <f>'2023 TM Planner '!$J33-'2023 TM Planner '!$I33</f>
        <v>72</v>
      </c>
      <c r="L33" s="7"/>
      <c r="M33" s="143"/>
      <c r="N33" s="4"/>
      <c r="O33" s="4"/>
      <c r="P33" s="42"/>
      <c r="Q33" s="19"/>
      <c r="R33" s="4"/>
      <c r="S33" s="4"/>
      <c r="T33" s="50"/>
      <c r="U33" s="61"/>
      <c r="V33" s="61"/>
      <c r="W33" s="61"/>
      <c r="X33" s="61"/>
      <c r="Y33" s="61"/>
      <c r="Z33" s="61"/>
      <c r="AA33" s="61"/>
      <c r="AB33" s="61"/>
      <c r="AC33" s="61"/>
      <c r="AD33" s="61"/>
      <c r="AE33" s="4"/>
      <c r="AF33" s="42"/>
      <c r="AG33" s="46"/>
      <c r="AH33" s="4"/>
      <c r="AI33" s="4"/>
      <c r="AJ33" s="42"/>
      <c r="AK33" s="46"/>
      <c r="AL33" s="4"/>
      <c r="AM33" s="4"/>
      <c r="AN33" s="42"/>
      <c r="AO33" s="46"/>
      <c r="AP33" s="4"/>
      <c r="AQ33" s="4"/>
      <c r="AR33" s="42"/>
      <c r="AS33" s="46"/>
      <c r="AT33" s="4"/>
      <c r="AU33" s="4"/>
      <c r="AV33" s="42"/>
      <c r="AW33" s="46"/>
      <c r="AX33" s="4"/>
      <c r="AY33" s="4"/>
      <c r="AZ33" s="42"/>
      <c r="BA33" s="46"/>
      <c r="BB33" s="4"/>
      <c r="BC33" s="4"/>
      <c r="BD33" s="42"/>
      <c r="BE33" s="46"/>
      <c r="BF33" s="4"/>
      <c r="BG33" s="4"/>
      <c r="BH33" s="42"/>
      <c r="BI33" s="46"/>
      <c r="BJ33" s="4"/>
      <c r="BK33" s="4"/>
      <c r="BL33" s="42"/>
      <c r="BM33" s="46"/>
      <c r="BN33" s="4"/>
      <c r="BO33" s="4"/>
      <c r="BP33" s="42"/>
    </row>
    <row r="34" spans="1:68" s="1" customFormat="1" ht="11" customHeight="1" x14ac:dyDescent="0.35">
      <c r="A34" s="2"/>
      <c r="B34" s="96"/>
      <c r="C34" s="110"/>
      <c r="D34" s="89"/>
      <c r="E34" s="89"/>
      <c r="F34" s="89"/>
      <c r="G34" s="89"/>
      <c r="H34" s="133"/>
      <c r="I34" s="199"/>
      <c r="J34" s="199"/>
      <c r="K34" s="200"/>
      <c r="L34" s="7"/>
      <c r="M34" s="143"/>
      <c r="N34" s="4"/>
      <c r="O34" s="4"/>
      <c r="P34" s="42"/>
      <c r="Q34" s="19"/>
      <c r="R34" s="4"/>
      <c r="S34" s="4"/>
      <c r="T34" s="50"/>
      <c r="U34" s="46"/>
      <c r="V34" s="4"/>
      <c r="W34" s="4"/>
      <c r="X34" s="42"/>
      <c r="Y34" s="46"/>
      <c r="Z34" s="4"/>
      <c r="AA34" s="4"/>
      <c r="AB34" s="42"/>
      <c r="AC34" s="46"/>
      <c r="AD34" s="4"/>
      <c r="AE34" s="4"/>
      <c r="AF34" s="42"/>
      <c r="AG34" s="46"/>
      <c r="AH34" s="4"/>
      <c r="AI34" s="4"/>
      <c r="AJ34" s="42"/>
      <c r="AK34" s="46"/>
      <c r="AL34" s="4"/>
      <c r="AM34" s="4"/>
      <c r="AN34" s="42"/>
      <c r="AO34" s="46"/>
      <c r="AP34" s="4"/>
      <c r="AQ34" s="4"/>
      <c r="AR34" s="42"/>
      <c r="AS34" s="46"/>
      <c r="AT34" s="4"/>
      <c r="AU34" s="4"/>
      <c r="AV34" s="42"/>
      <c r="AW34" s="46"/>
      <c r="AX34" s="4"/>
      <c r="AY34" s="4"/>
      <c r="AZ34" s="42"/>
      <c r="BA34" s="46"/>
      <c r="BB34" s="4"/>
      <c r="BC34" s="4"/>
      <c r="BD34" s="42"/>
      <c r="BE34" s="46"/>
      <c r="BF34" s="4"/>
      <c r="BG34" s="4"/>
      <c r="BH34" s="42"/>
      <c r="BI34" s="46"/>
      <c r="BJ34" s="4"/>
      <c r="BK34" s="4"/>
      <c r="BL34" s="42"/>
      <c r="BM34" s="46"/>
      <c r="BN34" s="4"/>
      <c r="BO34" s="4"/>
      <c r="BP34" s="42"/>
    </row>
    <row r="35" spans="1:68" s="1" customFormat="1" ht="108" customHeight="1" x14ac:dyDescent="0.35">
      <c r="A35" s="2"/>
      <c r="B35" s="136" t="s">
        <v>10</v>
      </c>
      <c r="C35" s="91" t="s">
        <v>55</v>
      </c>
      <c r="D35" s="117"/>
      <c r="E35" s="117">
        <v>2</v>
      </c>
      <c r="F35" s="117">
        <v>2</v>
      </c>
      <c r="G35" s="77"/>
      <c r="H35" s="151" t="s">
        <v>29</v>
      </c>
      <c r="I35" s="182">
        <v>44972</v>
      </c>
      <c r="J35" s="182">
        <v>44985</v>
      </c>
      <c r="K35" s="183">
        <f>J35-I35</f>
        <v>13</v>
      </c>
      <c r="L35" s="7"/>
      <c r="M35" s="143"/>
      <c r="N35" s="4"/>
      <c r="O35" s="4"/>
      <c r="P35" s="42"/>
      <c r="Q35" s="19"/>
      <c r="R35" s="4"/>
      <c r="S35" s="4"/>
      <c r="T35" s="50"/>
      <c r="U35" s="54"/>
      <c r="V35" s="4"/>
      <c r="W35" s="4"/>
      <c r="X35" s="50"/>
      <c r="Y35" s="46"/>
      <c r="Z35" s="4"/>
      <c r="AA35" s="124"/>
      <c r="AB35" s="124"/>
      <c r="AC35" s="46"/>
      <c r="AD35" s="4"/>
      <c r="AE35" s="4"/>
      <c r="AF35" s="42"/>
      <c r="AG35" s="46"/>
      <c r="AH35" s="4"/>
      <c r="AI35" s="4"/>
      <c r="AJ35" s="42"/>
      <c r="AK35" s="46"/>
      <c r="AL35" s="4"/>
      <c r="AM35" s="4"/>
      <c r="AN35" s="42"/>
      <c r="AO35" s="46"/>
      <c r="AP35" s="4"/>
      <c r="AQ35" s="4"/>
      <c r="AR35" s="42"/>
      <c r="AS35" s="46"/>
      <c r="AT35" s="4"/>
      <c r="AU35" s="4"/>
      <c r="AV35" s="42"/>
      <c r="AW35" s="46"/>
      <c r="AX35" s="4"/>
      <c r="AY35" s="4"/>
      <c r="AZ35" s="42"/>
      <c r="BA35" s="46"/>
      <c r="BB35" s="4"/>
      <c r="BC35" s="4"/>
      <c r="BD35" s="42"/>
      <c r="BE35" s="46"/>
      <c r="BF35" s="4"/>
      <c r="BG35" s="4"/>
      <c r="BH35" s="42"/>
      <c r="BI35" s="46"/>
      <c r="BJ35" s="4"/>
      <c r="BK35" s="4"/>
      <c r="BL35" s="42"/>
      <c r="BM35" s="46"/>
      <c r="BN35" s="4"/>
      <c r="BO35" s="4"/>
      <c r="BP35" s="42"/>
    </row>
    <row r="36" spans="1:68" s="1" customFormat="1" ht="12.5" customHeight="1" x14ac:dyDescent="0.35">
      <c r="A36" s="2"/>
      <c r="B36" s="94"/>
      <c r="C36" s="105"/>
      <c r="D36" s="81"/>
      <c r="E36" s="81"/>
      <c r="F36" s="81"/>
      <c r="G36" s="81"/>
      <c r="H36" s="131"/>
      <c r="I36" s="83"/>
      <c r="J36" s="83"/>
      <c r="K36" s="84"/>
      <c r="L36" s="7"/>
      <c r="M36" s="143"/>
      <c r="N36" s="4"/>
      <c r="O36" s="4"/>
      <c r="P36" s="42"/>
      <c r="Q36" s="19"/>
      <c r="R36" s="4"/>
      <c r="S36" s="4"/>
      <c r="T36" s="50"/>
      <c r="U36" s="54"/>
      <c r="V36" s="4"/>
      <c r="W36" s="4"/>
      <c r="X36" s="50"/>
      <c r="Y36" s="19"/>
      <c r="Z36" s="4"/>
      <c r="AA36" s="4"/>
      <c r="AB36" s="42"/>
      <c r="AC36" s="46"/>
      <c r="AD36" s="4"/>
      <c r="AE36" s="4"/>
      <c r="AF36" s="42"/>
      <c r="AG36" s="46"/>
      <c r="AH36" s="4"/>
      <c r="AI36" s="4"/>
      <c r="AJ36" s="42"/>
      <c r="AK36" s="46"/>
      <c r="AL36" s="4"/>
      <c r="AM36" s="4"/>
      <c r="AN36" s="42"/>
      <c r="AO36" s="46"/>
      <c r="AP36" s="4"/>
      <c r="AQ36" s="4"/>
      <c r="AR36" s="42"/>
      <c r="AS36" s="46"/>
      <c r="AT36" s="4"/>
      <c r="AU36" s="4"/>
      <c r="AV36" s="42"/>
      <c r="AW36" s="46"/>
      <c r="AX36" s="4"/>
      <c r="AY36" s="4"/>
      <c r="AZ36" s="42"/>
      <c r="BA36" s="46"/>
      <c r="BB36" s="4"/>
      <c r="BC36" s="4"/>
      <c r="BD36" s="42"/>
      <c r="BE36" s="46"/>
      <c r="BF36" s="4"/>
      <c r="BG36" s="4"/>
      <c r="BH36" s="42"/>
      <c r="BI36" s="46"/>
      <c r="BJ36" s="4"/>
      <c r="BK36" s="4"/>
      <c r="BL36" s="42"/>
      <c r="BM36" s="46"/>
      <c r="BN36" s="4"/>
      <c r="BO36" s="4"/>
      <c r="BP36" s="42"/>
    </row>
    <row r="37" spans="1:68" s="1" customFormat="1" ht="50.5" customHeight="1" x14ac:dyDescent="0.35">
      <c r="A37" s="2"/>
      <c r="B37" s="223" t="s">
        <v>8</v>
      </c>
      <c r="C37" s="92" t="s">
        <v>43</v>
      </c>
      <c r="D37" s="119">
        <v>2</v>
      </c>
      <c r="E37" s="119">
        <v>2</v>
      </c>
      <c r="F37" s="119">
        <v>2</v>
      </c>
      <c r="G37" s="90"/>
      <c r="H37" s="241" t="s">
        <v>36</v>
      </c>
      <c r="I37" s="189">
        <v>44958</v>
      </c>
      <c r="J37" s="189">
        <v>44972</v>
      </c>
      <c r="K37" s="190">
        <f>J37-I37</f>
        <v>14</v>
      </c>
      <c r="L37" s="7"/>
      <c r="M37" s="143"/>
      <c r="N37" s="4"/>
      <c r="O37" s="4"/>
      <c r="P37" s="42"/>
      <c r="Q37" s="19"/>
      <c r="R37" s="4"/>
      <c r="S37" s="4"/>
      <c r="T37" s="50"/>
      <c r="U37" s="54"/>
      <c r="V37" s="4"/>
      <c r="W37" s="4"/>
      <c r="X37" s="50"/>
      <c r="Y37" s="130"/>
      <c r="Z37" s="57"/>
      <c r="AA37" s="4"/>
      <c r="AB37" s="42"/>
      <c r="AC37" s="46"/>
      <c r="AD37" s="4"/>
      <c r="AE37" s="4"/>
      <c r="AF37" s="42"/>
      <c r="AG37" s="46"/>
      <c r="AH37" s="4"/>
      <c r="AI37" s="4"/>
      <c r="AJ37" s="42"/>
      <c r="AK37" s="46"/>
      <c r="AL37" s="4"/>
      <c r="AM37" s="4"/>
      <c r="AN37" s="42"/>
      <c r="AO37" s="46"/>
      <c r="AP37" s="4"/>
      <c r="AQ37" s="4"/>
      <c r="AR37" s="42"/>
      <c r="AS37" s="46"/>
      <c r="AT37" s="4"/>
      <c r="AU37" s="4"/>
      <c r="AV37" s="42"/>
      <c r="AW37" s="46"/>
      <c r="AX37" s="4"/>
      <c r="AY37" s="4"/>
      <c r="AZ37" s="42"/>
      <c r="BA37" s="46"/>
      <c r="BB37" s="4"/>
      <c r="BC37" s="4"/>
      <c r="BD37" s="42"/>
      <c r="BE37" s="46"/>
      <c r="BF37" s="4"/>
      <c r="BG37" s="4"/>
      <c r="BH37" s="42"/>
      <c r="BI37" s="46"/>
      <c r="BJ37" s="4"/>
      <c r="BK37" s="4"/>
      <c r="BL37" s="42"/>
      <c r="BM37" s="46"/>
      <c r="BN37" s="4"/>
      <c r="BO37" s="4"/>
      <c r="BP37" s="42"/>
    </row>
    <row r="38" spans="1:68" s="1" customFormat="1" ht="51.5" customHeight="1" x14ac:dyDescent="0.35">
      <c r="A38" s="2"/>
      <c r="B38" s="229"/>
      <c r="C38" s="215" t="s">
        <v>91</v>
      </c>
      <c r="D38" s="117"/>
      <c r="E38" s="117"/>
      <c r="F38" s="117">
        <v>2</v>
      </c>
      <c r="G38" s="117">
        <v>2</v>
      </c>
      <c r="H38" s="242"/>
      <c r="I38" s="182">
        <v>44958</v>
      </c>
      <c r="J38" s="182">
        <v>44972</v>
      </c>
      <c r="K38" s="183">
        <f>J38-I38</f>
        <v>14</v>
      </c>
      <c r="L38" s="7"/>
      <c r="M38" s="143"/>
      <c r="N38" s="4"/>
      <c r="O38" s="4"/>
      <c r="P38" s="42"/>
      <c r="Q38" s="19"/>
      <c r="R38" s="4"/>
      <c r="S38" s="4"/>
      <c r="T38" s="50"/>
      <c r="U38" s="54"/>
      <c r="V38" s="4"/>
      <c r="W38" s="4"/>
      <c r="X38" s="50"/>
      <c r="Y38" s="124"/>
      <c r="Z38" s="61"/>
      <c r="AA38" s="61"/>
      <c r="AB38" s="127"/>
      <c r="AC38" s="42"/>
      <c r="AD38" s="42"/>
      <c r="AE38" s="42"/>
      <c r="AF38" s="42"/>
      <c r="AG38" s="46"/>
      <c r="AH38" s="4"/>
      <c r="AI38" s="4"/>
      <c r="AJ38" s="42"/>
      <c r="AK38" s="46"/>
      <c r="AL38" s="4"/>
      <c r="AM38" s="4"/>
      <c r="AN38" s="42"/>
      <c r="AO38" s="46"/>
      <c r="AP38" s="4"/>
      <c r="AQ38" s="4"/>
      <c r="AR38" s="42"/>
      <c r="AS38" s="46"/>
      <c r="AT38" s="4"/>
      <c r="AU38" s="4"/>
      <c r="AV38" s="42"/>
      <c r="AW38" s="46"/>
      <c r="AX38" s="4"/>
      <c r="AY38" s="4"/>
      <c r="AZ38" s="42"/>
      <c r="BA38" s="46"/>
      <c r="BB38" s="4"/>
      <c r="BC38" s="4"/>
      <c r="BD38" s="42"/>
      <c r="BE38" s="46"/>
      <c r="BF38" s="4"/>
      <c r="BG38" s="4"/>
      <c r="BH38" s="42"/>
      <c r="BI38" s="46"/>
      <c r="BJ38" s="4"/>
      <c r="BK38" s="4"/>
      <c r="BL38" s="42"/>
      <c r="BM38" s="46"/>
      <c r="BN38" s="4"/>
      <c r="BO38" s="4"/>
      <c r="BP38" s="42"/>
    </row>
    <row r="39" spans="1:68" s="1" customFormat="1" ht="57" customHeight="1" x14ac:dyDescent="0.35">
      <c r="A39" s="2"/>
      <c r="B39" s="229"/>
      <c r="C39" s="92" t="s">
        <v>45</v>
      </c>
      <c r="D39" s="80"/>
      <c r="E39" s="119">
        <v>2</v>
      </c>
      <c r="F39" s="119">
        <v>2</v>
      </c>
      <c r="G39" s="80"/>
      <c r="H39" s="242"/>
      <c r="I39" s="189">
        <v>44972</v>
      </c>
      <c r="J39" s="189">
        <v>44985</v>
      </c>
      <c r="K39" s="190">
        <f>J39-I39</f>
        <v>13</v>
      </c>
      <c r="L39" s="7"/>
      <c r="M39" s="143"/>
      <c r="N39" s="4"/>
      <c r="O39" s="4"/>
      <c r="P39" s="42"/>
      <c r="Q39" s="19"/>
      <c r="R39" s="4"/>
      <c r="S39" s="4"/>
      <c r="T39" s="50"/>
      <c r="U39" s="54"/>
      <c r="V39" s="4"/>
      <c r="W39" s="4"/>
      <c r="X39" s="50"/>
      <c r="Y39" s="19"/>
      <c r="Z39" s="4"/>
      <c r="AA39" s="61"/>
      <c r="AB39" s="127"/>
      <c r="AC39" s="42"/>
      <c r="AD39" s="42"/>
      <c r="AE39" s="42"/>
      <c r="AF39" s="42"/>
      <c r="AG39" s="46"/>
      <c r="AH39" s="4"/>
      <c r="AI39" s="4"/>
      <c r="AJ39" s="42"/>
      <c r="AK39" s="46"/>
      <c r="AL39" s="4"/>
      <c r="AM39" s="4"/>
      <c r="AN39" s="42"/>
      <c r="AO39" s="46"/>
      <c r="AP39" s="4"/>
      <c r="AQ39" s="4"/>
      <c r="AR39" s="42"/>
      <c r="AS39" s="46"/>
      <c r="AT39" s="4"/>
      <c r="AU39" s="4"/>
      <c r="AV39" s="42"/>
      <c r="AW39" s="46"/>
      <c r="AX39" s="4"/>
      <c r="AY39" s="4"/>
      <c r="AZ39" s="42"/>
      <c r="BA39" s="46"/>
      <c r="BB39" s="4"/>
      <c r="BC39" s="4"/>
      <c r="BD39" s="42"/>
      <c r="BE39" s="46"/>
      <c r="BF39" s="4"/>
      <c r="BG39" s="4"/>
      <c r="BH39" s="42"/>
      <c r="BI39" s="46"/>
      <c r="BJ39" s="4"/>
      <c r="BK39" s="4"/>
      <c r="BL39" s="42"/>
      <c r="BM39" s="46"/>
      <c r="BN39" s="4"/>
      <c r="BO39" s="4"/>
      <c r="BP39" s="42"/>
    </row>
    <row r="40" spans="1:68" s="1" customFormat="1" ht="53" customHeight="1" x14ac:dyDescent="0.35">
      <c r="A40" s="2"/>
      <c r="B40" s="229"/>
      <c r="C40" s="86" t="s">
        <v>92</v>
      </c>
      <c r="D40" s="77"/>
      <c r="E40" s="117">
        <v>2</v>
      </c>
      <c r="F40" s="117">
        <v>2</v>
      </c>
      <c r="G40" s="77"/>
      <c r="H40" s="242"/>
      <c r="I40" s="182">
        <v>44972</v>
      </c>
      <c r="J40" s="182">
        <v>44985</v>
      </c>
      <c r="K40" s="183">
        <f>J40-I40</f>
        <v>13</v>
      </c>
      <c r="L40" s="7"/>
      <c r="M40" s="143"/>
      <c r="N40" s="4"/>
      <c r="O40" s="4"/>
      <c r="P40" s="42"/>
      <c r="Q40" s="19"/>
      <c r="R40" s="4"/>
      <c r="S40" s="4"/>
      <c r="T40" s="50"/>
      <c r="U40" s="54"/>
      <c r="V40" s="4"/>
      <c r="W40" s="4"/>
      <c r="X40" s="50"/>
      <c r="Y40" s="19"/>
      <c r="Z40" s="4"/>
      <c r="AA40" s="60"/>
      <c r="AB40" s="56"/>
      <c r="AC40" s="42"/>
      <c r="AD40" s="42"/>
      <c r="AE40" s="42"/>
      <c r="AF40" s="42"/>
      <c r="AG40" s="46"/>
      <c r="AH40" s="4"/>
      <c r="AI40" s="4"/>
      <c r="AJ40" s="42"/>
      <c r="AK40" s="46"/>
      <c r="AL40" s="4"/>
      <c r="AM40" s="4"/>
      <c r="AN40" s="42"/>
      <c r="AO40" s="46"/>
      <c r="AP40" s="4"/>
      <c r="AQ40" s="4"/>
      <c r="AR40" s="42"/>
      <c r="AS40" s="46"/>
      <c r="AT40" s="4"/>
      <c r="AU40" s="4"/>
      <c r="AV40" s="42"/>
      <c r="AW40" s="46"/>
      <c r="AX40" s="4"/>
      <c r="AY40" s="4"/>
      <c r="AZ40" s="42"/>
      <c r="BA40" s="46"/>
      <c r="BB40" s="4"/>
      <c r="BC40" s="4"/>
      <c r="BD40" s="42"/>
      <c r="BE40" s="46"/>
      <c r="BF40" s="4"/>
      <c r="BG40" s="4"/>
      <c r="BH40" s="42"/>
      <c r="BI40" s="46"/>
      <c r="BJ40" s="4"/>
      <c r="BK40" s="4"/>
      <c r="BL40" s="42"/>
      <c r="BM40" s="46"/>
      <c r="BN40" s="4"/>
      <c r="BO40" s="4"/>
      <c r="BP40" s="42"/>
    </row>
    <row r="41" spans="1:68" s="1" customFormat="1" ht="43.5" customHeight="1" x14ac:dyDescent="0.35">
      <c r="A41" s="2"/>
      <c r="B41" s="229"/>
      <c r="C41" s="92" t="s">
        <v>88</v>
      </c>
      <c r="D41" s="119">
        <v>2</v>
      </c>
      <c r="E41" s="119">
        <v>2</v>
      </c>
      <c r="F41" s="119">
        <v>2</v>
      </c>
      <c r="G41" s="119">
        <v>2</v>
      </c>
      <c r="H41" s="242"/>
      <c r="I41" s="189">
        <v>44986</v>
      </c>
      <c r="J41" s="189">
        <v>45016</v>
      </c>
      <c r="K41" s="190">
        <f>J41-I41</f>
        <v>30</v>
      </c>
      <c r="L41" s="7"/>
      <c r="M41" s="143"/>
      <c r="N41" s="4"/>
      <c r="O41" s="4"/>
      <c r="P41" s="42"/>
      <c r="Q41" s="19"/>
      <c r="R41" s="4"/>
      <c r="S41" s="4"/>
      <c r="T41" s="50"/>
      <c r="U41" s="54"/>
      <c r="V41" s="4"/>
      <c r="W41" s="4"/>
      <c r="X41" s="50"/>
      <c r="Y41" s="19"/>
      <c r="Z41" s="4"/>
      <c r="AA41" s="4"/>
      <c r="AB41" s="42"/>
      <c r="AC41" s="60"/>
      <c r="AD41" s="57"/>
      <c r="AE41" s="57"/>
      <c r="AF41" s="59"/>
      <c r="AG41" s="46"/>
      <c r="AH41" s="4"/>
      <c r="AI41" s="4"/>
      <c r="AJ41" s="42"/>
      <c r="AK41" s="46"/>
      <c r="AL41" s="4"/>
      <c r="AM41" s="4"/>
      <c r="AN41" s="42"/>
      <c r="AO41" s="46"/>
      <c r="AP41" s="4"/>
      <c r="AQ41" s="4"/>
      <c r="AR41" s="42"/>
      <c r="AS41" s="46"/>
      <c r="AT41" s="4"/>
      <c r="AU41" s="4"/>
      <c r="AV41" s="42"/>
      <c r="AW41" s="46"/>
      <c r="AX41" s="4"/>
      <c r="AY41" s="4"/>
      <c r="AZ41" s="42"/>
      <c r="BA41" s="46"/>
      <c r="BB41" s="4"/>
      <c r="BC41" s="4"/>
      <c r="BD41" s="42"/>
      <c r="BE41" s="46"/>
      <c r="BF41" s="4"/>
      <c r="BG41" s="4"/>
      <c r="BH41" s="42"/>
      <c r="BI41" s="46"/>
      <c r="BJ41" s="4"/>
      <c r="BK41" s="4"/>
      <c r="BL41" s="42"/>
      <c r="BM41" s="46"/>
      <c r="BN41" s="4"/>
      <c r="BO41" s="4"/>
      <c r="BP41" s="42"/>
    </row>
    <row r="42" spans="1:68" s="1" customFormat="1" ht="40" customHeight="1" x14ac:dyDescent="0.35">
      <c r="A42" s="2"/>
      <c r="B42" s="229"/>
      <c r="C42" s="91" t="s">
        <v>82</v>
      </c>
      <c r="D42" s="117"/>
      <c r="E42" s="117">
        <v>2</v>
      </c>
      <c r="F42" s="117">
        <v>2</v>
      </c>
      <c r="G42" s="117"/>
      <c r="H42" s="242"/>
      <c r="I42" s="182">
        <v>44986</v>
      </c>
      <c r="J42" s="182">
        <v>45016</v>
      </c>
      <c r="K42" s="183">
        <f t="shared" ref="K42:K48" si="0">J42-I42</f>
        <v>30</v>
      </c>
      <c r="L42" s="7"/>
      <c r="M42" s="143"/>
      <c r="N42" s="4"/>
      <c r="O42" s="4"/>
      <c r="P42" s="42"/>
      <c r="Q42" s="19"/>
      <c r="R42" s="4"/>
      <c r="S42" s="4"/>
      <c r="T42" s="50"/>
      <c r="U42" s="54"/>
      <c r="V42" s="4"/>
      <c r="W42" s="4"/>
      <c r="X42" s="50"/>
      <c r="Y42" s="19"/>
      <c r="Z42" s="4"/>
      <c r="AA42" s="4"/>
      <c r="AB42" s="42"/>
      <c r="AC42" s="60"/>
      <c r="AD42" s="57"/>
      <c r="AE42" s="57"/>
      <c r="AF42" s="59"/>
      <c r="AG42" s="46"/>
      <c r="AH42" s="4"/>
      <c r="AI42" s="4"/>
      <c r="AJ42" s="42"/>
      <c r="AK42" s="46"/>
      <c r="AL42" s="4"/>
      <c r="AM42" s="4"/>
      <c r="AN42" s="42"/>
      <c r="AO42" s="46"/>
      <c r="AP42" s="4"/>
      <c r="AQ42" s="4"/>
      <c r="AR42" s="42"/>
      <c r="AS42" s="46"/>
      <c r="AT42" s="4"/>
      <c r="AU42" s="4"/>
      <c r="AV42" s="42"/>
      <c r="AW42" s="46"/>
      <c r="AX42" s="4"/>
      <c r="AY42" s="4"/>
      <c r="AZ42" s="42"/>
      <c r="BA42" s="46"/>
      <c r="BB42" s="4"/>
      <c r="BC42" s="4"/>
      <c r="BD42" s="42"/>
      <c r="BE42" s="46"/>
      <c r="BF42" s="4"/>
      <c r="BG42" s="4"/>
      <c r="BH42" s="42"/>
      <c r="BI42" s="46"/>
      <c r="BJ42" s="4"/>
      <c r="BK42" s="4"/>
      <c r="BL42" s="42"/>
      <c r="BM42" s="46"/>
      <c r="BN42" s="4"/>
      <c r="BO42" s="4"/>
      <c r="BP42" s="42"/>
    </row>
    <row r="43" spans="1:68" s="1" customFormat="1" ht="40" customHeight="1" x14ac:dyDescent="0.35">
      <c r="A43" s="2"/>
      <c r="B43" s="229"/>
      <c r="C43" s="92" t="s">
        <v>49</v>
      </c>
      <c r="D43" s="90" t="s">
        <v>21</v>
      </c>
      <c r="E43" s="119">
        <v>2</v>
      </c>
      <c r="F43" s="119"/>
      <c r="G43" s="119"/>
      <c r="H43" s="242"/>
      <c r="I43" s="189">
        <v>45017</v>
      </c>
      <c r="J43" s="189">
        <v>45023</v>
      </c>
      <c r="K43" s="190">
        <f t="shared" si="0"/>
        <v>6</v>
      </c>
      <c r="L43" s="7"/>
      <c r="M43" s="143"/>
      <c r="N43" s="4"/>
      <c r="O43" s="4"/>
      <c r="P43" s="42"/>
      <c r="Q43" s="19"/>
      <c r="R43" s="4"/>
      <c r="S43" s="4"/>
      <c r="T43" s="50"/>
      <c r="U43" s="54"/>
      <c r="V43" s="4"/>
      <c r="W43" s="4"/>
      <c r="X43" s="50"/>
      <c r="Y43" s="19"/>
      <c r="Z43" s="4"/>
      <c r="AA43" s="4"/>
      <c r="AB43" s="42"/>
      <c r="AC43" s="46"/>
      <c r="AD43" s="4"/>
      <c r="AE43" s="4"/>
      <c r="AF43" s="42"/>
      <c r="AG43" s="185"/>
      <c r="AH43" s="34"/>
      <c r="AI43" s="34"/>
      <c r="AJ43" s="43"/>
      <c r="AK43" s="46"/>
      <c r="AL43" s="4"/>
      <c r="AM43" s="4"/>
      <c r="AN43" s="42"/>
      <c r="AO43" s="46"/>
      <c r="AP43" s="4"/>
      <c r="AQ43" s="4"/>
      <c r="AR43" s="42"/>
      <c r="AS43" s="46"/>
      <c r="AT43" s="4"/>
      <c r="AU43" s="4"/>
      <c r="AV43" s="42"/>
      <c r="AW43" s="46"/>
      <c r="AX43" s="4"/>
      <c r="AY43" s="4"/>
      <c r="AZ43" s="42"/>
      <c r="BA43" s="46"/>
      <c r="BB43" s="4"/>
      <c r="BC43" s="4"/>
      <c r="BD43" s="42"/>
      <c r="BE43" s="46"/>
      <c r="BF43" s="4"/>
      <c r="BG43" s="4"/>
      <c r="BH43" s="42"/>
      <c r="BI43" s="46"/>
      <c r="BJ43" s="4"/>
      <c r="BK43" s="4"/>
      <c r="BL43" s="42"/>
      <c r="BM43" s="46"/>
      <c r="BN43" s="4"/>
      <c r="BO43" s="4"/>
      <c r="BP43" s="42"/>
    </row>
    <row r="44" spans="1:68" s="1" customFormat="1" ht="40" customHeight="1" x14ac:dyDescent="0.35">
      <c r="A44" s="2"/>
      <c r="B44" s="229"/>
      <c r="C44" s="92" t="s">
        <v>90</v>
      </c>
      <c r="D44" s="120"/>
      <c r="E44" s="117">
        <v>2</v>
      </c>
      <c r="F44" s="117">
        <v>2</v>
      </c>
      <c r="G44" s="117"/>
      <c r="H44" s="242"/>
      <c r="I44" s="189">
        <v>45017</v>
      </c>
      <c r="J44" s="189">
        <v>45024</v>
      </c>
      <c r="K44" s="190">
        <f>J44-I44</f>
        <v>7</v>
      </c>
      <c r="L44" s="7"/>
      <c r="M44" s="143"/>
      <c r="N44" s="4"/>
      <c r="O44" s="4"/>
      <c r="P44" s="42"/>
      <c r="Q44" s="19"/>
      <c r="R44" s="4"/>
      <c r="S44" s="4"/>
      <c r="T44" s="50"/>
      <c r="U44" s="54"/>
      <c r="V44" s="4"/>
      <c r="W44" s="4"/>
      <c r="X44" s="50"/>
      <c r="Y44" s="19"/>
      <c r="Z44" s="4"/>
      <c r="AA44" s="4"/>
      <c r="AB44" s="42"/>
      <c r="AC44" s="19"/>
      <c r="AD44" s="4"/>
      <c r="AE44" s="4"/>
      <c r="AF44" s="42"/>
      <c r="AG44" s="57"/>
      <c r="AH44" s="221"/>
      <c r="AI44" s="221"/>
      <c r="AJ44" s="221"/>
      <c r="AK44" s="19"/>
      <c r="AL44" s="4"/>
      <c r="AM44" s="4"/>
      <c r="AN44" s="42"/>
      <c r="AO44" s="46"/>
      <c r="AP44" s="4"/>
      <c r="AQ44" s="4"/>
      <c r="AR44" s="42"/>
      <c r="AS44" s="46"/>
      <c r="AT44" s="4"/>
      <c r="AU44" s="4"/>
      <c r="AV44" s="42"/>
      <c r="AW44" s="46"/>
      <c r="AX44" s="4"/>
      <c r="AY44" s="4"/>
      <c r="AZ44" s="42"/>
      <c r="BA44" s="46"/>
      <c r="BB44" s="4"/>
      <c r="BC44" s="4"/>
      <c r="BD44" s="42"/>
      <c r="BE44" s="46"/>
      <c r="BF44" s="4"/>
      <c r="BG44" s="4"/>
      <c r="BH44" s="42"/>
      <c r="BI44" s="46"/>
      <c r="BJ44" s="4"/>
      <c r="BK44" s="4"/>
      <c r="BL44" s="42"/>
      <c r="BM44" s="46"/>
      <c r="BN44" s="4"/>
      <c r="BO44" s="4"/>
      <c r="BP44" s="42"/>
    </row>
    <row r="45" spans="1:68" s="1" customFormat="1" ht="40" customHeight="1" x14ac:dyDescent="0.35">
      <c r="A45" s="2"/>
      <c r="B45" s="229"/>
      <c r="C45" s="91" t="s">
        <v>93</v>
      </c>
      <c r="D45" s="80" t="s">
        <v>21</v>
      </c>
      <c r="E45" s="119">
        <v>2</v>
      </c>
      <c r="F45" s="119">
        <v>2</v>
      </c>
      <c r="G45" s="80"/>
      <c r="H45" s="242"/>
      <c r="I45" s="216">
        <v>45024</v>
      </c>
      <c r="J45" s="216">
        <v>45046</v>
      </c>
      <c r="K45" s="217">
        <f>J45-I45</f>
        <v>22</v>
      </c>
      <c r="L45" s="7"/>
      <c r="M45" s="143"/>
      <c r="N45" s="4"/>
      <c r="O45" s="4"/>
      <c r="P45" s="42"/>
      <c r="Q45" s="19"/>
      <c r="R45" s="4"/>
      <c r="S45" s="4"/>
      <c r="T45" s="50"/>
      <c r="U45" s="54"/>
      <c r="V45" s="4"/>
      <c r="W45" s="4"/>
      <c r="X45" s="50"/>
      <c r="Y45" s="19"/>
      <c r="Z45" s="4"/>
      <c r="AA45" s="4"/>
      <c r="AB45" s="42"/>
      <c r="AC45" s="19"/>
      <c r="AD45" s="4"/>
      <c r="AE45" s="4"/>
      <c r="AF45" s="42"/>
      <c r="AG45" s="218"/>
      <c r="AH45" s="219"/>
      <c r="AI45" s="219"/>
      <c r="AJ45" s="220"/>
      <c r="AK45" s="46"/>
      <c r="AL45" s="4"/>
      <c r="AM45" s="4"/>
      <c r="AN45" s="42"/>
      <c r="AO45" s="46"/>
      <c r="AP45" s="4"/>
      <c r="AQ45" s="4"/>
      <c r="AR45" s="42"/>
      <c r="AS45" s="46"/>
      <c r="AT45" s="4"/>
      <c r="AU45" s="4"/>
      <c r="AV45" s="42"/>
      <c r="AW45" s="46"/>
      <c r="AX45" s="4"/>
      <c r="AY45" s="4"/>
      <c r="AZ45" s="42"/>
      <c r="BA45" s="46"/>
      <c r="BB45" s="4"/>
      <c r="BC45" s="4"/>
      <c r="BD45" s="42"/>
      <c r="BE45" s="46"/>
      <c r="BF45" s="4"/>
      <c r="BG45" s="4"/>
      <c r="BH45" s="42"/>
      <c r="BI45" s="46"/>
      <c r="BJ45" s="4"/>
      <c r="BK45" s="4"/>
      <c r="BL45" s="42"/>
      <c r="BM45" s="46"/>
      <c r="BN45" s="4"/>
      <c r="BO45" s="4"/>
      <c r="BP45" s="42"/>
    </row>
    <row r="46" spans="1:68" s="1" customFormat="1" ht="40" customHeight="1" x14ac:dyDescent="0.35">
      <c r="A46" s="2"/>
      <c r="B46" s="229"/>
      <c r="C46" s="91" t="s">
        <v>89</v>
      </c>
      <c r="D46" s="77" t="s">
        <v>21</v>
      </c>
      <c r="E46" s="117">
        <v>2</v>
      </c>
      <c r="F46" s="77"/>
      <c r="G46" s="77"/>
      <c r="H46" s="242"/>
      <c r="I46" s="182">
        <v>45024</v>
      </c>
      <c r="J46" s="182">
        <v>45046</v>
      </c>
      <c r="K46" s="183">
        <f t="shared" si="0"/>
        <v>22</v>
      </c>
      <c r="L46" s="7"/>
      <c r="M46" s="143"/>
      <c r="N46" s="4"/>
      <c r="O46" s="4"/>
      <c r="P46" s="42"/>
      <c r="Q46" s="19"/>
      <c r="R46" s="4"/>
      <c r="S46" s="4"/>
      <c r="T46" s="50"/>
      <c r="U46" s="54"/>
      <c r="V46" s="4"/>
      <c r="W46" s="4"/>
      <c r="X46" s="50"/>
      <c r="Y46" s="19"/>
      <c r="Z46" s="4"/>
      <c r="AA46" s="4"/>
      <c r="AB46" s="42"/>
      <c r="AC46" s="46"/>
      <c r="AD46" s="4"/>
      <c r="AE46" s="4"/>
      <c r="AF46" s="42"/>
      <c r="AG46" s="46"/>
      <c r="AH46" s="130"/>
      <c r="AI46" s="57"/>
      <c r="AJ46" s="56"/>
      <c r="AK46" s="46"/>
      <c r="AL46" s="4"/>
      <c r="AM46" s="4"/>
      <c r="AN46" s="42"/>
      <c r="AO46" s="46"/>
      <c r="AP46" s="4"/>
      <c r="AQ46" s="4"/>
      <c r="AR46" s="42"/>
      <c r="AS46" s="46"/>
      <c r="AT46" s="4"/>
      <c r="AU46" s="4"/>
      <c r="AV46" s="42"/>
      <c r="AW46" s="46"/>
      <c r="AX46" s="4"/>
      <c r="AY46" s="4"/>
      <c r="AZ46" s="42"/>
      <c r="BA46" s="46"/>
      <c r="BB46" s="4"/>
      <c r="BC46" s="4"/>
      <c r="BD46" s="42"/>
      <c r="BE46" s="46"/>
      <c r="BF46" s="4"/>
      <c r="BG46" s="4"/>
      <c r="BH46" s="42"/>
      <c r="BI46" s="46"/>
      <c r="BJ46" s="4"/>
      <c r="BK46" s="4"/>
      <c r="BL46" s="42"/>
      <c r="BM46" s="46"/>
      <c r="BN46" s="4"/>
      <c r="BO46" s="4"/>
      <c r="BP46" s="42"/>
    </row>
    <row r="47" spans="1:68" s="1" customFormat="1" ht="40" customHeight="1" x14ac:dyDescent="0.35">
      <c r="A47" s="2"/>
      <c r="B47" s="229"/>
      <c r="C47" s="92" t="s">
        <v>84</v>
      </c>
      <c r="D47" s="119"/>
      <c r="E47" s="119"/>
      <c r="F47" s="119">
        <v>2</v>
      </c>
      <c r="G47" s="119">
        <v>2</v>
      </c>
      <c r="H47" s="242"/>
      <c r="I47" s="189">
        <v>45047</v>
      </c>
      <c r="J47" s="189">
        <v>45077</v>
      </c>
      <c r="K47" s="190">
        <f t="shared" si="0"/>
        <v>30</v>
      </c>
      <c r="L47" s="7"/>
      <c r="M47" s="143"/>
      <c r="N47" s="4"/>
      <c r="O47" s="4"/>
      <c r="P47" s="42"/>
      <c r="Q47" s="19"/>
      <c r="R47" s="4"/>
      <c r="S47" s="4"/>
      <c r="T47" s="50"/>
      <c r="U47" s="54"/>
      <c r="V47" s="4"/>
      <c r="W47" s="4"/>
      <c r="X47" s="50"/>
      <c r="Y47" s="19"/>
      <c r="Z47" s="4"/>
      <c r="AA47" s="4"/>
      <c r="AB47" s="42"/>
      <c r="AC47" s="46"/>
      <c r="AD47" s="4"/>
      <c r="AE47" s="4"/>
      <c r="AF47" s="42"/>
      <c r="AG47" s="46"/>
      <c r="AH47" s="4"/>
      <c r="AI47" s="4"/>
      <c r="AJ47" s="42"/>
      <c r="AK47" s="135"/>
      <c r="AL47" s="61"/>
      <c r="AM47" s="61"/>
      <c r="AN47" s="184"/>
      <c r="AO47" s="46"/>
      <c r="AP47" s="46"/>
      <c r="AQ47" s="46"/>
      <c r="AR47" s="42"/>
      <c r="AS47" s="46"/>
      <c r="AT47" s="4"/>
      <c r="AU47" s="4"/>
      <c r="AV47" s="42"/>
      <c r="AW47" s="46"/>
      <c r="AX47" s="4"/>
      <c r="AY47" s="4"/>
      <c r="AZ47" s="42"/>
      <c r="BA47" s="46"/>
      <c r="BB47" s="4"/>
      <c r="BC47" s="4"/>
      <c r="BD47" s="42"/>
      <c r="BE47" s="46"/>
      <c r="BF47" s="4"/>
      <c r="BG47" s="4"/>
      <c r="BH47" s="42"/>
      <c r="BI47" s="46"/>
      <c r="BJ47" s="4"/>
      <c r="BK47" s="4"/>
      <c r="BL47" s="42"/>
      <c r="BM47" s="46"/>
      <c r="BN47" s="4"/>
      <c r="BO47" s="4"/>
      <c r="BP47" s="42"/>
    </row>
    <row r="48" spans="1:68" s="1" customFormat="1" ht="40" customHeight="1" x14ac:dyDescent="0.35">
      <c r="A48" s="2"/>
      <c r="B48" s="229"/>
      <c r="C48" s="91" t="s">
        <v>46</v>
      </c>
      <c r="D48" s="117"/>
      <c r="E48" s="117"/>
      <c r="F48" s="117">
        <v>2</v>
      </c>
      <c r="G48" s="117">
        <v>2</v>
      </c>
      <c r="H48" s="242"/>
      <c r="I48" s="182">
        <v>45047</v>
      </c>
      <c r="J48" s="182">
        <v>45077</v>
      </c>
      <c r="K48" s="183">
        <f t="shared" si="0"/>
        <v>30</v>
      </c>
      <c r="L48" s="7"/>
      <c r="M48" s="143"/>
      <c r="N48" s="4"/>
      <c r="O48" s="4"/>
      <c r="P48" s="42"/>
      <c r="Q48" s="19"/>
      <c r="R48" s="4"/>
      <c r="S48" s="4"/>
      <c r="T48" s="50"/>
      <c r="U48" s="54"/>
      <c r="V48" s="4"/>
      <c r="W48" s="4"/>
      <c r="X48" s="50"/>
      <c r="Y48" s="19"/>
      <c r="Z48" s="4"/>
      <c r="AA48" s="4"/>
      <c r="AB48" s="42"/>
      <c r="AC48" s="46"/>
      <c r="AD48" s="4"/>
      <c r="AE48" s="4"/>
      <c r="AF48" s="42"/>
      <c r="AG48" s="46"/>
      <c r="AH48" s="4"/>
      <c r="AI48" s="4"/>
      <c r="AJ48" s="42"/>
      <c r="AK48" s="135"/>
      <c r="AL48" s="61"/>
      <c r="AM48" s="61"/>
      <c r="AN48" s="184"/>
      <c r="AO48" s="46"/>
      <c r="AP48" s="46"/>
      <c r="AQ48" s="46"/>
      <c r="AR48" s="42"/>
      <c r="AS48" s="46"/>
      <c r="AT48" s="4"/>
      <c r="AU48" s="4"/>
      <c r="AV48" s="42"/>
      <c r="AW48" s="46"/>
      <c r="AX48" s="4"/>
      <c r="AY48" s="4"/>
      <c r="AZ48" s="42"/>
      <c r="BA48" s="46"/>
      <c r="BB48" s="4"/>
      <c r="BC48" s="4"/>
      <c r="BD48" s="42"/>
      <c r="BE48" s="46"/>
      <c r="BF48" s="4"/>
      <c r="BG48" s="4"/>
      <c r="BH48" s="42"/>
      <c r="BI48" s="46"/>
      <c r="BJ48" s="4"/>
      <c r="BK48" s="4"/>
      <c r="BL48" s="42"/>
      <c r="BM48" s="46"/>
      <c r="BN48" s="4"/>
      <c r="BO48" s="4"/>
      <c r="BP48" s="42"/>
    </row>
    <row r="49" spans="1:68" s="1" customFormat="1" ht="40" customHeight="1" x14ac:dyDescent="0.35">
      <c r="A49" s="2"/>
      <c r="B49" s="224"/>
      <c r="C49" s="92" t="s">
        <v>56</v>
      </c>
      <c r="D49" s="80"/>
      <c r="E49" s="119">
        <v>2</v>
      </c>
      <c r="F49" s="119">
        <v>2</v>
      </c>
      <c r="G49" s="119">
        <v>2</v>
      </c>
      <c r="H49" s="243"/>
      <c r="I49" s="225" t="s">
        <v>83</v>
      </c>
      <c r="J49" s="226"/>
      <c r="K49" s="226"/>
      <c r="L49" s="7"/>
      <c r="M49" s="143"/>
      <c r="N49" s="4"/>
      <c r="O49" s="4"/>
      <c r="P49" s="42"/>
      <c r="Q49" s="19"/>
      <c r="R49" s="4"/>
      <c r="S49" s="4"/>
      <c r="T49" s="50"/>
      <c r="U49" s="19"/>
      <c r="V49" s="4"/>
      <c r="W49" s="4"/>
      <c r="X49" s="42"/>
      <c r="Y49" s="46"/>
      <c r="Z49" s="4"/>
      <c r="AA49" s="4"/>
      <c r="AB49" s="42"/>
      <c r="AC49" s="46"/>
      <c r="AD49" s="4"/>
      <c r="AE49" s="4"/>
      <c r="AF49" s="42"/>
      <c r="AG49" s="46"/>
      <c r="AH49" s="4"/>
      <c r="AI49" s="4"/>
      <c r="AJ49" s="42"/>
      <c r="AK49" s="46"/>
      <c r="AL49" s="4"/>
      <c r="AM49" s="4"/>
      <c r="AN49" s="42"/>
      <c r="AO49" s="46"/>
      <c r="AP49" s="46"/>
      <c r="AQ49" s="46"/>
      <c r="AR49" s="42"/>
      <c r="AS49" s="46"/>
      <c r="AT49" s="4"/>
      <c r="AU49" s="4"/>
      <c r="AV49" s="42"/>
      <c r="AW49" s="135"/>
      <c r="AX49" s="61"/>
      <c r="AY49" s="61"/>
      <c r="AZ49" s="184"/>
      <c r="BA49" s="46"/>
      <c r="BB49" s="4"/>
      <c r="BC49" s="4"/>
      <c r="BD49" s="42"/>
      <c r="BE49" s="46"/>
      <c r="BF49" s="4"/>
      <c r="BG49" s="4"/>
      <c r="BH49" s="42"/>
      <c r="BI49" s="135"/>
      <c r="BJ49" s="61"/>
      <c r="BK49" s="61"/>
      <c r="BL49" s="184"/>
      <c r="BM49" s="46"/>
      <c r="BN49" s="4"/>
      <c r="BO49" s="4"/>
      <c r="BP49" s="42"/>
    </row>
    <row r="50" spans="1:68" s="1" customFormat="1" ht="12.5" customHeight="1" x14ac:dyDescent="0.5">
      <c r="A50" s="2"/>
      <c r="B50" s="97"/>
      <c r="C50" s="113"/>
      <c r="D50" s="93"/>
      <c r="E50" s="93"/>
      <c r="F50" s="93"/>
      <c r="G50" s="93"/>
      <c r="H50" s="134"/>
      <c r="I50" s="201"/>
      <c r="J50" s="201"/>
      <c r="K50" s="202"/>
      <c r="L50" s="7"/>
      <c r="M50" s="143"/>
      <c r="N50" s="4"/>
      <c r="O50" s="4"/>
      <c r="P50" s="42"/>
      <c r="Q50" s="19"/>
      <c r="R50" s="4"/>
      <c r="S50" s="4"/>
      <c r="T50" s="50"/>
      <c r="U50" s="19"/>
      <c r="V50" s="4"/>
      <c r="W50" s="4"/>
      <c r="X50" s="42"/>
      <c r="Y50" s="46"/>
      <c r="Z50" s="4"/>
      <c r="AA50" s="4"/>
      <c r="AB50" s="42"/>
      <c r="AC50" s="46"/>
      <c r="AD50" s="4"/>
      <c r="AE50" s="4"/>
      <c r="AF50" s="42"/>
      <c r="AG50" s="46"/>
      <c r="AH50" s="4"/>
      <c r="AI50" s="4"/>
      <c r="AJ50" s="42"/>
      <c r="AK50" s="46"/>
      <c r="AL50" s="4"/>
      <c r="AM50" s="4"/>
      <c r="AN50" s="42"/>
      <c r="AO50" s="46"/>
      <c r="AP50" s="46"/>
      <c r="AQ50" s="46"/>
      <c r="AR50" s="42"/>
      <c r="AS50" s="46"/>
      <c r="AT50" s="4"/>
      <c r="AU50" s="4"/>
      <c r="AV50" s="42"/>
      <c r="AW50" s="46"/>
      <c r="AX50" s="4"/>
      <c r="AY50" s="4"/>
      <c r="AZ50" s="42"/>
      <c r="BA50" s="46"/>
      <c r="BB50" s="4"/>
      <c r="BC50" s="4"/>
      <c r="BD50" s="42"/>
      <c r="BE50" s="46"/>
      <c r="BF50" s="4"/>
      <c r="BG50" s="4"/>
      <c r="BH50" s="42"/>
      <c r="BI50" s="46"/>
      <c r="BJ50" s="4"/>
      <c r="BK50" s="4"/>
      <c r="BL50" s="42"/>
      <c r="BM50" s="46"/>
      <c r="BN50" s="4"/>
      <c r="BO50" s="4"/>
      <c r="BP50" s="42"/>
    </row>
    <row r="51" spans="1:68" s="1" customFormat="1" ht="51" customHeight="1" x14ac:dyDescent="0.5">
      <c r="A51" s="2"/>
      <c r="B51" s="223" t="s">
        <v>9</v>
      </c>
      <c r="C51" s="112" t="s">
        <v>19</v>
      </c>
      <c r="D51" s="71"/>
      <c r="E51" s="117">
        <v>2</v>
      </c>
      <c r="F51" s="117">
        <v>2</v>
      </c>
      <c r="G51" s="117">
        <v>2</v>
      </c>
      <c r="H51" s="227" t="s">
        <v>20</v>
      </c>
      <c r="I51" s="244" t="s">
        <v>39</v>
      </c>
      <c r="J51" s="245"/>
      <c r="K51" s="245"/>
      <c r="L51" s="7"/>
      <c r="M51" s="143"/>
      <c r="N51" s="4"/>
      <c r="O51" s="4"/>
      <c r="P51" s="42"/>
      <c r="Q51" s="19"/>
      <c r="R51" s="4"/>
      <c r="S51" s="4"/>
      <c r="T51" s="50"/>
      <c r="U51" s="19"/>
      <c r="V51" s="4"/>
      <c r="W51" s="4"/>
      <c r="X51" s="42"/>
      <c r="Y51" s="46"/>
      <c r="Z51" s="4"/>
      <c r="AA51" s="4"/>
      <c r="AB51" s="42"/>
      <c r="AC51" s="46"/>
      <c r="AD51" s="4"/>
      <c r="AE51" s="4"/>
      <c r="AF51" s="42"/>
      <c r="AG51" s="46"/>
      <c r="AH51" s="4"/>
      <c r="AI51" s="4"/>
      <c r="AJ51" s="42"/>
      <c r="AK51" s="57"/>
      <c r="AL51" s="57"/>
      <c r="AM51" s="57"/>
      <c r="AN51" s="58"/>
      <c r="AO51" s="46"/>
      <c r="AP51" s="46"/>
      <c r="AQ51" s="46"/>
      <c r="AR51" s="42"/>
      <c r="AS51" s="46"/>
      <c r="AT51" s="4"/>
      <c r="AU51" s="4"/>
      <c r="AV51" s="42"/>
      <c r="AW51" s="57"/>
      <c r="AX51" s="57"/>
      <c r="AY51" s="57"/>
      <c r="AZ51" s="58"/>
      <c r="BA51" s="46"/>
      <c r="BB51" s="4"/>
      <c r="BC51" s="4"/>
      <c r="BD51" s="42"/>
      <c r="BE51" s="46"/>
      <c r="BF51" s="4"/>
      <c r="BG51" s="4"/>
      <c r="BH51" s="42"/>
      <c r="BI51" s="57"/>
      <c r="BJ51" s="57"/>
      <c r="BK51" s="57"/>
      <c r="BL51" s="58"/>
      <c r="BM51" s="57"/>
      <c r="BN51" s="57"/>
      <c r="BO51" s="57"/>
      <c r="BP51" s="58"/>
    </row>
    <row r="52" spans="1:68" s="1" customFormat="1" ht="42.5" customHeight="1" x14ac:dyDescent="0.35">
      <c r="A52" s="2"/>
      <c r="B52" s="224"/>
      <c r="C52" s="148" t="s">
        <v>57</v>
      </c>
      <c r="D52" s="119">
        <v>2</v>
      </c>
      <c r="E52" s="119"/>
      <c r="F52" s="119"/>
      <c r="G52" s="119"/>
      <c r="H52" s="228"/>
      <c r="I52" s="225" t="s">
        <v>39</v>
      </c>
      <c r="J52" s="226"/>
      <c r="K52" s="226"/>
      <c r="L52" s="7"/>
      <c r="M52" s="143"/>
      <c r="N52" s="4"/>
      <c r="O52" s="4"/>
      <c r="P52" s="42"/>
      <c r="Q52" s="19"/>
      <c r="R52" s="4"/>
      <c r="S52" s="4"/>
      <c r="T52" s="50"/>
      <c r="U52" s="19"/>
      <c r="V52" s="4"/>
      <c r="W52" s="4"/>
      <c r="X52" s="42"/>
      <c r="Y52" s="46"/>
      <c r="Z52" s="4"/>
      <c r="AA52" s="4"/>
      <c r="AB52" s="42"/>
      <c r="AC52" s="46"/>
      <c r="AD52" s="4"/>
      <c r="AE52" s="4"/>
      <c r="AF52" s="42"/>
      <c r="AG52" s="46"/>
      <c r="AH52" s="4"/>
      <c r="AI52" s="4"/>
      <c r="AJ52" s="42"/>
      <c r="AK52" s="57"/>
      <c r="AL52" s="57"/>
      <c r="AM52" s="57"/>
      <c r="AN52" s="57"/>
      <c r="AO52" s="46"/>
      <c r="AP52" s="19"/>
      <c r="AQ52" s="19"/>
      <c r="AR52" s="42"/>
      <c r="AS52" s="46"/>
      <c r="AT52" s="4"/>
      <c r="AU52" s="4"/>
      <c r="AV52" s="42"/>
      <c r="AW52" s="57"/>
      <c r="AX52" s="57"/>
      <c r="AY52" s="57"/>
      <c r="AZ52" s="57"/>
      <c r="BA52" s="19"/>
      <c r="BB52" s="33"/>
      <c r="BC52" s="4"/>
      <c r="BD52" s="42"/>
      <c r="BE52" s="46"/>
      <c r="BF52" s="4"/>
      <c r="BG52" s="4"/>
      <c r="BH52" s="42"/>
      <c r="BI52" s="57"/>
      <c r="BJ52" s="57"/>
      <c r="BK52" s="57"/>
      <c r="BL52" s="57"/>
      <c r="BM52" s="57"/>
      <c r="BN52" s="57"/>
      <c r="BO52" s="57"/>
      <c r="BP52" s="57"/>
    </row>
    <row r="53" spans="1:68" s="1" customFormat="1" ht="13.5" customHeight="1" x14ac:dyDescent="0.35">
      <c r="A53" s="2"/>
      <c r="B53" s="94"/>
      <c r="C53" s="105"/>
      <c r="D53" s="81"/>
      <c r="E53" s="81"/>
      <c r="F53" s="81"/>
      <c r="G53" s="81"/>
      <c r="H53" s="131"/>
      <c r="I53" s="83"/>
      <c r="J53" s="83"/>
      <c r="K53" s="84"/>
      <c r="L53" s="7"/>
      <c r="M53" s="143"/>
      <c r="N53" s="4"/>
      <c r="O53" s="4"/>
      <c r="P53" s="42"/>
      <c r="Q53" s="19"/>
      <c r="R53" s="4"/>
      <c r="S53" s="4"/>
      <c r="T53" s="50"/>
      <c r="U53" s="19"/>
      <c r="V53" s="4"/>
      <c r="W53" s="4"/>
      <c r="X53" s="42"/>
      <c r="Y53" s="46"/>
      <c r="Z53" s="4"/>
      <c r="AA53" s="4"/>
      <c r="AB53" s="42"/>
      <c r="AC53" s="46"/>
      <c r="AD53" s="4"/>
      <c r="AE53" s="4"/>
      <c r="AF53" s="42"/>
      <c r="AG53" s="46"/>
      <c r="AH53" s="4"/>
      <c r="AI53" s="4"/>
      <c r="AJ53" s="42"/>
      <c r="AK53" s="46"/>
      <c r="AL53" s="4"/>
      <c r="AM53" s="4"/>
      <c r="AN53" s="42"/>
      <c r="AO53" s="46"/>
      <c r="AP53" s="4"/>
      <c r="AQ53" s="4"/>
      <c r="AR53" s="42"/>
      <c r="AS53" s="46"/>
      <c r="AT53" s="4"/>
      <c r="AU53" s="4"/>
      <c r="AV53" s="42"/>
      <c r="AW53" s="4"/>
      <c r="AX53" s="42"/>
      <c r="AY53" s="46"/>
      <c r="AZ53" s="4"/>
      <c r="BA53" s="4"/>
      <c r="BB53" s="42"/>
      <c r="BC53" s="4"/>
      <c r="BD53" s="42"/>
      <c r="BE53" s="46"/>
      <c r="BF53" s="4"/>
      <c r="BG53" s="4"/>
      <c r="BH53" s="42"/>
      <c r="BI53" s="4"/>
      <c r="BJ53" s="42"/>
      <c r="BK53" s="46"/>
      <c r="BL53" s="4"/>
      <c r="BM53" s="4"/>
      <c r="BN53" s="42"/>
      <c r="BO53" s="46"/>
      <c r="BP53" s="4"/>
    </row>
    <row r="54" spans="1:68" ht="52.5" customHeight="1" x14ac:dyDescent="0.35">
      <c r="B54" s="85" t="s">
        <v>37</v>
      </c>
      <c r="C54" s="121" t="s">
        <v>38</v>
      </c>
      <c r="D54" s="123">
        <v>2</v>
      </c>
      <c r="E54" s="123">
        <v>2</v>
      </c>
      <c r="F54" s="122"/>
      <c r="G54" s="122"/>
      <c r="H54" s="149" t="s">
        <v>7</v>
      </c>
      <c r="I54" s="213"/>
      <c r="J54" s="204"/>
      <c r="K54" s="205"/>
      <c r="M54" s="143"/>
      <c r="N54" s="4"/>
      <c r="O54" s="4"/>
      <c r="P54" s="42"/>
      <c r="Q54" s="19"/>
      <c r="R54" s="4"/>
      <c r="S54" s="4"/>
      <c r="T54" s="50"/>
      <c r="U54" s="63"/>
      <c r="V54" s="64"/>
      <c r="W54" s="64"/>
      <c r="X54" s="65"/>
      <c r="Y54" s="63"/>
      <c r="Z54" s="64"/>
      <c r="AA54" s="64"/>
      <c r="AB54" s="65"/>
      <c r="AC54" s="63"/>
      <c r="AD54" s="64"/>
      <c r="AE54" s="64"/>
      <c r="AF54" s="65"/>
      <c r="AG54" s="63"/>
      <c r="AH54" s="64"/>
      <c r="AI54" s="64"/>
      <c r="AJ54" s="65"/>
      <c r="AK54" s="63"/>
      <c r="AL54" s="64"/>
      <c r="AM54" s="64"/>
      <c r="AN54" s="65"/>
      <c r="AO54" s="63"/>
      <c r="AP54" s="64"/>
      <c r="AQ54" s="64"/>
      <c r="AR54" s="65"/>
      <c r="AS54" s="63"/>
      <c r="AT54" s="64"/>
      <c r="AU54" s="64"/>
      <c r="AV54" s="65"/>
      <c r="AW54" s="63"/>
      <c r="AX54" s="64"/>
      <c r="AY54" s="64"/>
      <c r="AZ54" s="65"/>
      <c r="BA54" s="63"/>
      <c r="BB54" s="64"/>
      <c r="BC54" s="64"/>
      <c r="BD54" s="65"/>
      <c r="BE54" s="63"/>
      <c r="BF54" s="64"/>
      <c r="BG54" s="64"/>
      <c r="BH54" s="65"/>
      <c r="BI54" s="63"/>
      <c r="BJ54" s="64"/>
      <c r="BK54" s="64"/>
      <c r="BL54" s="65"/>
      <c r="BM54" s="63"/>
      <c r="BN54" s="64"/>
      <c r="BO54" s="64"/>
      <c r="BP54" s="65"/>
    </row>
    <row r="55" spans="1:68" s="1" customFormat="1" ht="13.5" customHeight="1" x14ac:dyDescent="0.35">
      <c r="A55" s="2"/>
      <c r="B55" s="94"/>
      <c r="C55" s="105"/>
      <c r="D55" s="81"/>
      <c r="E55" s="81"/>
      <c r="F55" s="81"/>
      <c r="G55" s="81"/>
      <c r="H55" s="131"/>
      <c r="I55" s="83"/>
      <c r="J55" s="83"/>
      <c r="K55" s="84"/>
      <c r="L55" s="7"/>
      <c r="M55" s="143"/>
      <c r="N55" s="4"/>
      <c r="O55" s="4"/>
      <c r="P55" s="42"/>
      <c r="Q55" s="19"/>
      <c r="R55" s="4"/>
      <c r="S55" s="4"/>
      <c r="T55" s="50"/>
      <c r="U55" s="19"/>
      <c r="V55" s="4"/>
      <c r="W55" s="4"/>
      <c r="X55" s="42"/>
      <c r="Y55" s="46"/>
      <c r="Z55" s="4"/>
      <c r="AA55" s="4"/>
      <c r="AB55" s="42"/>
      <c r="AC55" s="46"/>
      <c r="AD55" s="4"/>
      <c r="AE55" s="4"/>
      <c r="AF55" s="42"/>
      <c r="AG55" s="46"/>
      <c r="AH55" s="4"/>
      <c r="AI55" s="4"/>
      <c r="AJ55" s="42"/>
      <c r="AK55" s="46"/>
      <c r="AL55" s="4"/>
      <c r="AM55" s="4"/>
      <c r="AN55" s="42"/>
      <c r="AO55" s="46"/>
      <c r="AP55" s="4"/>
      <c r="AQ55" s="4"/>
      <c r="AR55" s="42"/>
      <c r="AS55" s="46"/>
      <c r="AT55" s="4"/>
      <c r="AU55" s="4"/>
      <c r="AV55" s="42"/>
      <c r="AW55" s="4"/>
      <c r="AX55" s="42"/>
      <c r="AY55" s="46"/>
      <c r="AZ55" s="4"/>
      <c r="BA55" s="4"/>
      <c r="BB55" s="42"/>
      <c r="BC55" s="4"/>
      <c r="BD55" s="42"/>
      <c r="BE55" s="46"/>
      <c r="BF55" s="4"/>
      <c r="BG55" s="4"/>
      <c r="BH55" s="42"/>
      <c r="BI55" s="4"/>
      <c r="BJ55" s="42"/>
      <c r="BK55" s="46"/>
      <c r="BL55" s="4"/>
      <c r="BM55" s="4"/>
      <c r="BN55" s="42"/>
      <c r="BO55" s="46"/>
      <c r="BP55" s="4"/>
    </row>
    <row r="56" spans="1:68" ht="58.5" customHeight="1" x14ac:dyDescent="0.35">
      <c r="B56" s="223" t="s">
        <v>58</v>
      </c>
      <c r="C56" s="167" t="s">
        <v>77</v>
      </c>
      <c r="D56" s="145">
        <v>2</v>
      </c>
      <c r="E56" s="145"/>
      <c r="F56" s="159"/>
      <c r="G56" s="159"/>
      <c r="H56" s="155" t="s">
        <v>7</v>
      </c>
      <c r="I56" s="206">
        <v>44927</v>
      </c>
      <c r="J56" s="203">
        <v>45290</v>
      </c>
      <c r="K56" s="207">
        <f>J56-I56</f>
        <v>363</v>
      </c>
      <c r="M56" s="143"/>
      <c r="N56" s="4"/>
      <c r="O56" s="4"/>
      <c r="P56" s="42"/>
      <c r="Q56" s="19"/>
      <c r="R56" s="4"/>
      <c r="S56" s="4"/>
      <c r="T56" s="50"/>
      <c r="U56" s="63"/>
      <c r="V56" s="64"/>
      <c r="W56" s="64"/>
      <c r="X56" s="65"/>
      <c r="Y56" s="63"/>
      <c r="Z56" s="64"/>
      <c r="AA56" s="64"/>
      <c r="AB56" s="65"/>
      <c r="AC56" s="63"/>
      <c r="AD56" s="64"/>
      <c r="AE56" s="64"/>
      <c r="AF56" s="65"/>
      <c r="AG56" s="63"/>
      <c r="AH56" s="64"/>
      <c r="AI56" s="64"/>
      <c r="AJ56" s="65"/>
      <c r="AK56" s="63"/>
      <c r="AL56" s="64"/>
      <c r="AM56" s="64"/>
      <c r="AN56" s="65"/>
      <c r="AO56" s="63"/>
      <c r="AP56" s="64"/>
      <c r="AQ56" s="64"/>
      <c r="AR56" s="65"/>
      <c r="AS56" s="63"/>
      <c r="AT56" s="64"/>
      <c r="AU56" s="64"/>
      <c r="AV56" s="65"/>
      <c r="AW56" s="63"/>
      <c r="AX56" s="64"/>
      <c r="AY56" s="64"/>
      <c r="AZ56" s="65"/>
      <c r="BA56" s="63"/>
      <c r="BB56" s="64"/>
      <c r="BC56" s="64"/>
      <c r="BD56" s="65"/>
      <c r="BE56" s="63"/>
      <c r="BF56" s="64"/>
      <c r="BG56" s="64"/>
      <c r="BH56" s="65"/>
      <c r="BI56" s="63"/>
      <c r="BJ56" s="64"/>
      <c r="BK56" s="64"/>
      <c r="BL56" s="65"/>
      <c r="BM56" s="63"/>
      <c r="BN56" s="64"/>
      <c r="BO56" s="64"/>
      <c r="BP56" s="65"/>
    </row>
    <row r="57" spans="1:68" ht="77.5" customHeight="1" x14ac:dyDescent="0.35">
      <c r="B57" s="229"/>
      <c r="C57" s="92" t="s">
        <v>62</v>
      </c>
      <c r="D57" s="119">
        <v>2</v>
      </c>
      <c r="E57" s="119"/>
      <c r="F57" s="80"/>
      <c r="G57" s="80"/>
      <c r="H57" s="168" t="s">
        <v>7</v>
      </c>
      <c r="I57" s="171">
        <v>44927</v>
      </c>
      <c r="J57" s="189">
        <v>45291</v>
      </c>
      <c r="K57" s="190">
        <f>J57-I57</f>
        <v>364</v>
      </c>
      <c r="M57" s="143"/>
      <c r="N57" s="4"/>
      <c r="O57" s="4"/>
      <c r="P57" s="42"/>
      <c r="Q57" s="19"/>
      <c r="R57" s="4"/>
      <c r="S57" s="4"/>
      <c r="T57" s="50"/>
      <c r="U57" s="165"/>
      <c r="V57" s="129"/>
      <c r="W57" s="129"/>
      <c r="X57" s="166"/>
      <c r="Y57" s="165"/>
      <c r="Z57" s="129"/>
      <c r="AA57" s="129"/>
      <c r="AB57" s="166"/>
      <c r="AC57" s="165"/>
      <c r="AD57" s="129"/>
      <c r="AE57" s="129"/>
      <c r="AF57" s="166"/>
      <c r="AG57" s="165"/>
      <c r="AH57" s="129"/>
      <c r="AI57" s="129"/>
      <c r="AJ57" s="166"/>
      <c r="AK57" s="165"/>
      <c r="AL57" s="129"/>
      <c r="AM57" s="129"/>
      <c r="AN57" s="166"/>
      <c r="AO57" s="165"/>
      <c r="AP57" s="129"/>
      <c r="AQ57" s="129"/>
      <c r="AR57" s="166"/>
      <c r="AS57" s="165"/>
      <c r="AT57" s="129"/>
      <c r="AU57" s="129"/>
      <c r="AV57" s="166"/>
      <c r="AW57" s="165"/>
      <c r="AX57" s="129"/>
      <c r="AY57" s="129"/>
      <c r="AZ57" s="166"/>
      <c r="BA57" s="165"/>
      <c r="BB57" s="129"/>
      <c r="BC57" s="129"/>
      <c r="BD57" s="166"/>
      <c r="BE57" s="165"/>
      <c r="BF57" s="129"/>
      <c r="BG57" s="129"/>
      <c r="BH57" s="166"/>
      <c r="BI57" s="165"/>
      <c r="BJ57" s="129"/>
      <c r="BK57" s="129"/>
      <c r="BL57" s="166"/>
      <c r="BM57" s="165"/>
      <c r="BN57" s="129"/>
      <c r="BO57" s="129"/>
      <c r="BP57" s="166"/>
    </row>
    <row r="58" spans="1:68" ht="41" customHeight="1" x14ac:dyDescent="0.35">
      <c r="B58" s="229"/>
      <c r="C58" s="86" t="s">
        <v>59</v>
      </c>
      <c r="D58" s="117">
        <v>2</v>
      </c>
      <c r="E58" s="117"/>
      <c r="F58" s="77"/>
      <c r="G58" s="77"/>
      <c r="H58" s="156" t="s">
        <v>68</v>
      </c>
      <c r="I58" s="169">
        <v>44927</v>
      </c>
      <c r="J58" s="182">
        <v>44957</v>
      </c>
      <c r="K58" s="183">
        <f>J58-I58</f>
        <v>30</v>
      </c>
      <c r="M58" s="143"/>
      <c r="N58" s="4"/>
      <c r="O58" s="4"/>
      <c r="P58" s="42"/>
      <c r="Q58" s="143"/>
      <c r="R58" s="4"/>
      <c r="S58" s="4"/>
      <c r="T58" s="143"/>
      <c r="U58" s="165"/>
      <c r="V58" s="129"/>
      <c r="W58" s="129"/>
      <c r="X58" s="166"/>
      <c r="Y58" s="19"/>
      <c r="Z58" s="19"/>
      <c r="AA58" s="19"/>
      <c r="AB58" s="42"/>
      <c r="AC58" s="19"/>
      <c r="AD58" s="19"/>
      <c r="AE58" s="19"/>
      <c r="AF58" s="42"/>
      <c r="AG58" s="19"/>
      <c r="AH58" s="19"/>
      <c r="AI58" s="19"/>
      <c r="AJ58" s="42"/>
      <c r="AK58" s="19"/>
      <c r="AL58" s="19"/>
      <c r="AM58" s="19"/>
      <c r="AN58" s="42"/>
      <c r="AO58" s="19"/>
      <c r="AP58" s="19"/>
      <c r="AQ58" s="19"/>
      <c r="AR58" s="42"/>
      <c r="AS58" s="19"/>
      <c r="AT58" s="19"/>
      <c r="AU58" s="19"/>
      <c r="AV58" s="42"/>
      <c r="AW58" s="19"/>
      <c r="AX58" s="19"/>
      <c r="AY58" s="19"/>
      <c r="AZ58" s="42"/>
      <c r="BA58" s="19"/>
      <c r="BB58" s="19"/>
      <c r="BC58" s="19"/>
      <c r="BD58" s="42"/>
      <c r="BE58" s="19"/>
      <c r="BF58" s="19"/>
      <c r="BG58" s="19"/>
      <c r="BH58" s="42"/>
      <c r="BI58" s="19"/>
      <c r="BJ58" s="19"/>
      <c r="BK58" s="19"/>
      <c r="BL58" s="42"/>
      <c r="BM58" s="19"/>
      <c r="BN58" s="19"/>
      <c r="BO58" s="19"/>
      <c r="BP58" s="42"/>
    </row>
    <row r="59" spans="1:68" ht="47.5" customHeight="1" x14ac:dyDescent="0.35">
      <c r="B59" s="229"/>
      <c r="C59" s="100" t="s">
        <v>63</v>
      </c>
      <c r="D59" s="119"/>
      <c r="E59" s="119">
        <v>2</v>
      </c>
      <c r="F59" s="80"/>
      <c r="G59" s="80"/>
      <c r="H59" s="156"/>
      <c r="I59" s="171">
        <v>44927</v>
      </c>
      <c r="J59" s="189">
        <v>45015</v>
      </c>
      <c r="K59" s="190">
        <f>J59-I59</f>
        <v>88</v>
      </c>
      <c r="M59" s="143"/>
      <c r="N59" s="4"/>
      <c r="O59" s="4"/>
      <c r="P59" s="42"/>
      <c r="Q59" s="143"/>
      <c r="R59" s="4"/>
      <c r="S59" s="4"/>
      <c r="T59" s="143"/>
      <c r="U59" s="170"/>
      <c r="V59" s="57"/>
      <c r="W59" s="57"/>
      <c r="X59" s="58"/>
      <c r="Y59" s="170"/>
      <c r="Z59" s="57"/>
      <c r="AA59" s="57"/>
      <c r="AB59" s="58"/>
      <c r="AC59" s="170"/>
      <c r="AD59" s="57"/>
      <c r="AE59" s="57"/>
      <c r="AF59" s="58"/>
      <c r="AG59" s="19"/>
      <c r="AH59" s="19"/>
      <c r="AI59" s="19"/>
      <c r="AJ59" s="42"/>
      <c r="AK59" s="19"/>
      <c r="AL59" s="19"/>
      <c r="AM59" s="19"/>
      <c r="AN59" s="42"/>
      <c r="AO59" s="19"/>
      <c r="AP59" s="19"/>
      <c r="AQ59" s="19"/>
      <c r="AR59" s="42"/>
      <c r="AS59" s="19"/>
      <c r="AT59" s="19"/>
      <c r="AU59" s="19"/>
      <c r="AV59" s="42"/>
      <c r="AW59" s="19"/>
      <c r="AX59" s="19"/>
      <c r="AY59" s="19"/>
      <c r="AZ59" s="42"/>
      <c r="BA59" s="19"/>
      <c r="BB59" s="19"/>
      <c r="BC59" s="19"/>
      <c r="BD59" s="42"/>
      <c r="BE59" s="19"/>
      <c r="BF59" s="19"/>
      <c r="BG59" s="19"/>
      <c r="BH59" s="42"/>
      <c r="BI59" s="19"/>
      <c r="BJ59" s="19"/>
      <c r="BK59" s="19"/>
      <c r="BL59" s="42"/>
      <c r="BM59" s="19"/>
      <c r="BN59" s="19"/>
      <c r="BO59" s="19"/>
      <c r="BP59" s="42"/>
    </row>
    <row r="60" spans="1:68" ht="42.5" customHeight="1" x14ac:dyDescent="0.5">
      <c r="B60" s="229"/>
      <c r="C60" s="86" t="s">
        <v>60</v>
      </c>
      <c r="D60" s="161"/>
      <c r="E60" s="117">
        <v>2</v>
      </c>
      <c r="F60" s="77"/>
      <c r="G60" s="77"/>
      <c r="H60" s="156"/>
      <c r="I60" s="253" t="s">
        <v>69</v>
      </c>
      <c r="J60" s="254"/>
      <c r="K60" s="254"/>
      <c r="M60" s="143"/>
      <c r="N60" s="19"/>
      <c r="O60" s="19"/>
      <c r="P60" s="42"/>
      <c r="Q60" s="19"/>
      <c r="R60" s="19"/>
      <c r="S60" s="19"/>
      <c r="T60" s="42"/>
      <c r="U60" s="19"/>
      <c r="V60" s="19"/>
      <c r="W60" s="19"/>
      <c r="X60" s="42"/>
      <c r="Y60" s="19"/>
      <c r="Z60" s="19"/>
      <c r="AA60" s="19"/>
      <c r="AB60" s="42"/>
      <c r="AC60" s="19"/>
      <c r="AD60" s="19"/>
      <c r="AE60" s="19"/>
      <c r="AF60" s="42"/>
      <c r="AG60" s="19"/>
      <c r="AH60" s="19"/>
      <c r="AI60" s="19"/>
      <c r="AJ60" s="42"/>
      <c r="AK60" s="63"/>
      <c r="AL60" s="64"/>
      <c r="AM60" s="64"/>
      <c r="AN60" s="65"/>
      <c r="AO60" s="19"/>
      <c r="AP60" s="19"/>
      <c r="AQ60" s="19"/>
      <c r="AR60" s="42"/>
      <c r="AS60" s="19"/>
      <c r="AT60" s="19"/>
      <c r="AU60" s="19"/>
      <c r="AV60" s="42"/>
      <c r="AW60" s="19"/>
      <c r="AX60" s="19"/>
      <c r="AY60" s="19"/>
      <c r="AZ60" s="42"/>
      <c r="BA60" s="63"/>
      <c r="BB60" s="64"/>
      <c r="BC60" s="64"/>
      <c r="BD60" s="65"/>
      <c r="BE60" s="19"/>
      <c r="BF60" s="19"/>
      <c r="BG60" s="19"/>
      <c r="BH60" s="42"/>
      <c r="BI60" s="19"/>
      <c r="BJ60" s="19"/>
      <c r="BK60" s="19"/>
      <c r="BL60" s="42"/>
      <c r="BM60" s="19"/>
      <c r="BN60" s="19"/>
      <c r="BO60" s="19"/>
      <c r="BP60" s="42"/>
    </row>
    <row r="61" spans="1:68" ht="66.5" customHeight="1" x14ac:dyDescent="0.5">
      <c r="B61" s="229"/>
      <c r="C61" s="92" t="s">
        <v>70</v>
      </c>
      <c r="E61" s="119">
        <v>2</v>
      </c>
      <c r="F61" s="80"/>
      <c r="G61" s="80"/>
      <c r="H61" s="156"/>
      <c r="I61" s="255" t="s">
        <v>71</v>
      </c>
      <c r="J61" s="256"/>
      <c r="K61" s="256"/>
      <c r="M61" s="143"/>
      <c r="N61" s="4"/>
      <c r="O61" s="4"/>
      <c r="P61" s="42"/>
      <c r="Q61" s="19"/>
      <c r="R61" s="19"/>
      <c r="S61" s="19"/>
      <c r="T61" s="42"/>
      <c r="U61" s="19"/>
      <c r="V61" s="19"/>
      <c r="W61" s="19"/>
      <c r="X61" s="42"/>
      <c r="Y61" s="19"/>
      <c r="Z61" s="19"/>
      <c r="AA61" s="19"/>
      <c r="AB61" s="42"/>
      <c r="AC61" s="19"/>
      <c r="AD61" s="19"/>
      <c r="AE61" s="19"/>
      <c r="AF61" s="42"/>
      <c r="AG61" s="19"/>
      <c r="AH61" s="19"/>
      <c r="AI61" s="19"/>
      <c r="AJ61" s="42"/>
      <c r="AK61" s="19"/>
      <c r="AL61" s="19"/>
      <c r="AM61" s="19"/>
      <c r="AN61" s="42"/>
      <c r="AO61" s="63"/>
      <c r="AP61" s="64"/>
      <c r="AQ61" s="64"/>
      <c r="AR61" s="65"/>
      <c r="AS61" s="19"/>
      <c r="AT61" s="19"/>
      <c r="AU61" s="19"/>
      <c r="AV61" s="42"/>
      <c r="AW61" s="19"/>
      <c r="AX61" s="19"/>
      <c r="AY61" s="19"/>
      <c r="AZ61" s="42"/>
      <c r="BA61" s="19"/>
      <c r="BB61" s="19"/>
      <c r="BC61" s="19"/>
      <c r="BD61" s="42"/>
      <c r="BE61" s="63"/>
      <c r="BF61" s="64"/>
      <c r="BG61" s="64"/>
      <c r="BH61" s="65"/>
      <c r="BI61" s="19"/>
      <c r="BJ61" s="19"/>
      <c r="BK61" s="19"/>
      <c r="BL61" s="42"/>
      <c r="BM61" s="19"/>
      <c r="BN61" s="19"/>
      <c r="BO61" s="19"/>
      <c r="BP61" s="42"/>
    </row>
    <row r="62" spans="1:68" ht="40" customHeight="1" x14ac:dyDescent="0.5">
      <c r="B62" s="224"/>
      <c r="C62" s="86" t="s">
        <v>61</v>
      </c>
      <c r="D62" s="117">
        <v>2</v>
      </c>
      <c r="E62" s="161"/>
      <c r="F62" s="77"/>
      <c r="G62" s="77"/>
      <c r="H62" s="156"/>
      <c r="I62" s="172">
        <v>44927</v>
      </c>
      <c r="J62" s="208">
        <v>44957</v>
      </c>
      <c r="K62" s="209">
        <f>J62-I62</f>
        <v>30</v>
      </c>
      <c r="M62" s="143"/>
      <c r="N62" s="4"/>
      <c r="O62" s="4"/>
      <c r="P62" s="42"/>
      <c r="Q62" s="19"/>
      <c r="R62" s="19"/>
      <c r="S62" s="19"/>
      <c r="T62" s="42"/>
      <c r="U62" s="165"/>
      <c r="V62" s="129"/>
      <c r="W62" s="129"/>
      <c r="X62" s="166"/>
      <c r="Y62" s="19"/>
      <c r="Z62" s="19"/>
      <c r="AA62" s="19"/>
      <c r="AB62" s="42"/>
      <c r="AC62" s="19"/>
      <c r="AD62" s="19"/>
      <c r="AE62" s="19"/>
      <c r="AF62" s="42"/>
      <c r="AG62" s="19"/>
      <c r="AH62" s="19"/>
      <c r="AI62" s="19"/>
      <c r="AJ62" s="42"/>
      <c r="AK62" s="19"/>
      <c r="AL62" s="19"/>
      <c r="AM62" s="19"/>
      <c r="AN62" s="42"/>
      <c r="AO62" s="19"/>
      <c r="AP62" s="19"/>
      <c r="AQ62" s="19"/>
      <c r="AR62" s="42"/>
      <c r="AS62" s="19"/>
      <c r="AT62" s="19"/>
      <c r="AU62" s="19"/>
      <c r="AV62" s="42"/>
      <c r="AW62" s="19"/>
      <c r="AX62" s="19"/>
      <c r="AY62" s="19"/>
      <c r="AZ62" s="42"/>
      <c r="BA62" s="19"/>
      <c r="BB62" s="19"/>
      <c r="BC62" s="19"/>
      <c r="BD62" s="42"/>
      <c r="BE62" s="19"/>
      <c r="BF62" s="19"/>
      <c r="BG62" s="19"/>
      <c r="BH62" s="42"/>
      <c r="BI62" s="19"/>
      <c r="BJ62" s="19"/>
      <c r="BK62" s="19"/>
      <c r="BL62" s="42"/>
      <c r="BM62" s="19"/>
      <c r="BN62" s="19"/>
      <c r="BO62" s="19"/>
      <c r="BP62" s="42"/>
    </row>
    <row r="63" spans="1:68" s="1" customFormat="1" ht="13.5" customHeight="1" x14ac:dyDescent="0.35">
      <c r="A63" s="2"/>
      <c r="B63" s="94"/>
      <c r="C63" s="105"/>
      <c r="D63" s="81"/>
      <c r="E63" s="81"/>
      <c r="F63" s="81"/>
      <c r="G63" s="81"/>
      <c r="H63" s="131"/>
      <c r="I63" s="83"/>
      <c r="J63" s="83"/>
      <c r="K63" s="84"/>
      <c r="L63" s="7"/>
      <c r="M63" s="143"/>
      <c r="N63" s="4"/>
      <c r="O63" s="4"/>
      <c r="P63" s="42"/>
      <c r="Q63" s="19"/>
      <c r="R63" s="4"/>
      <c r="S63" s="4"/>
      <c r="T63" s="50"/>
      <c r="U63" s="19"/>
      <c r="V63" s="4"/>
      <c r="W63" s="4"/>
      <c r="X63" s="42"/>
      <c r="Y63" s="46"/>
      <c r="Z63" s="4"/>
      <c r="AA63" s="4"/>
      <c r="AB63" s="42"/>
      <c r="AC63" s="46"/>
      <c r="AD63" s="4"/>
      <c r="AE63" s="4"/>
      <c r="AF63" s="42"/>
      <c r="AG63" s="46"/>
      <c r="AH63" s="4"/>
      <c r="AI63" s="4"/>
      <c r="AJ63" s="42"/>
      <c r="AK63" s="46"/>
      <c r="AL63" s="4"/>
      <c r="AM63" s="4"/>
      <c r="AN63" s="42"/>
      <c r="AO63" s="46"/>
      <c r="AP63" s="4"/>
      <c r="AQ63" s="4"/>
      <c r="AR63" s="42"/>
      <c r="AS63" s="46"/>
      <c r="AT63" s="4"/>
      <c r="AU63" s="4"/>
      <c r="AV63" s="42"/>
      <c r="AW63" s="4"/>
      <c r="AX63" s="42"/>
      <c r="AY63" s="46"/>
      <c r="AZ63" s="4"/>
      <c r="BA63" s="4"/>
      <c r="BB63" s="42"/>
      <c r="BC63" s="4"/>
      <c r="BD63" s="42"/>
      <c r="BE63" s="46"/>
      <c r="BF63" s="4"/>
      <c r="BG63" s="4"/>
      <c r="BH63" s="42"/>
      <c r="BI63" s="4"/>
      <c r="BJ63" s="42"/>
      <c r="BK63" s="46"/>
      <c r="BL63" s="4"/>
      <c r="BM63" s="4"/>
      <c r="BN63" s="42"/>
      <c r="BO63" s="46"/>
      <c r="BP63" s="4"/>
    </row>
    <row r="64" spans="1:68" ht="45" customHeight="1" x14ac:dyDescent="0.35">
      <c r="B64" s="223" t="s">
        <v>64</v>
      </c>
      <c r="C64" s="152" t="s">
        <v>65</v>
      </c>
      <c r="D64" s="153">
        <v>2</v>
      </c>
      <c r="E64" s="153">
        <v>2</v>
      </c>
      <c r="F64" s="154"/>
      <c r="G64" s="154"/>
      <c r="H64" s="155" t="s">
        <v>7</v>
      </c>
      <c r="I64" s="164">
        <v>44927</v>
      </c>
      <c r="J64" s="210">
        <v>45291</v>
      </c>
      <c r="K64" s="211">
        <f>J64-I64</f>
        <v>364</v>
      </c>
      <c r="M64" s="143"/>
      <c r="N64" s="4"/>
      <c r="O64" s="4"/>
      <c r="P64" s="42"/>
      <c r="Q64" s="19"/>
      <c r="R64" s="4"/>
      <c r="S64" s="4"/>
      <c r="T64" s="50"/>
      <c r="U64" s="63"/>
      <c r="V64" s="64"/>
      <c r="W64" s="64"/>
      <c r="X64" s="65"/>
      <c r="Y64" s="63"/>
      <c r="Z64" s="64"/>
      <c r="AA64" s="64"/>
      <c r="AB64" s="65"/>
      <c r="AC64" s="63"/>
      <c r="AD64" s="64"/>
      <c r="AE64" s="64"/>
      <c r="AF64" s="65"/>
      <c r="AG64" s="63"/>
      <c r="AH64" s="64"/>
      <c r="AI64" s="64"/>
      <c r="AJ64" s="65"/>
      <c r="AK64" s="63"/>
      <c r="AL64" s="64"/>
      <c r="AM64" s="64"/>
      <c r="AN64" s="65"/>
      <c r="AO64" s="63"/>
      <c r="AP64" s="64"/>
      <c r="AQ64" s="64"/>
      <c r="AR64" s="65"/>
      <c r="AS64" s="63"/>
      <c r="AT64" s="64"/>
      <c r="AU64" s="64"/>
      <c r="AV64" s="65"/>
      <c r="AW64" s="63"/>
      <c r="AX64" s="64"/>
      <c r="AY64" s="64"/>
      <c r="AZ64" s="65"/>
      <c r="BA64" s="63"/>
      <c r="BB64" s="64"/>
      <c r="BC64" s="64"/>
      <c r="BD64" s="65"/>
      <c r="BE64" s="63"/>
      <c r="BF64" s="64"/>
      <c r="BG64" s="64"/>
      <c r="BH64" s="65"/>
      <c r="BI64" s="63"/>
      <c r="BJ64" s="64"/>
      <c r="BK64" s="64"/>
      <c r="BL64" s="65"/>
      <c r="BM64" s="63"/>
      <c r="BN64" s="64"/>
      <c r="BO64" s="64"/>
      <c r="BP64" s="65"/>
    </row>
    <row r="65" spans="1:69" ht="42.5" customHeight="1" x14ac:dyDescent="0.35">
      <c r="B65" s="229"/>
      <c r="C65" s="91" t="s">
        <v>78</v>
      </c>
      <c r="D65" s="117">
        <v>2</v>
      </c>
      <c r="E65" s="117"/>
      <c r="F65" s="77"/>
      <c r="G65" s="77"/>
      <c r="H65" s="156"/>
      <c r="I65" s="176">
        <v>44927</v>
      </c>
      <c r="J65" s="182">
        <v>44957</v>
      </c>
      <c r="K65" s="183">
        <f>J65-I65</f>
        <v>30</v>
      </c>
      <c r="M65" s="143"/>
      <c r="N65" s="4"/>
      <c r="O65" s="4"/>
      <c r="P65" s="42"/>
      <c r="U65" s="129"/>
      <c r="V65" s="129"/>
      <c r="W65" s="129"/>
      <c r="X65" s="166"/>
      <c r="Y65" s="19"/>
      <c r="Z65" s="19"/>
      <c r="AA65" s="19"/>
      <c r="AB65" s="42"/>
      <c r="AC65" s="19"/>
      <c r="AD65" s="19"/>
      <c r="AE65" s="19"/>
      <c r="AF65" s="42"/>
      <c r="AG65" s="19"/>
      <c r="AH65" s="19"/>
      <c r="AI65" s="19"/>
      <c r="AJ65" s="42"/>
      <c r="AK65" s="19"/>
      <c r="AL65" s="19"/>
      <c r="AM65" s="19"/>
      <c r="AN65" s="42"/>
      <c r="AO65" s="19"/>
      <c r="AP65" s="19"/>
      <c r="AQ65" s="19"/>
      <c r="AR65" s="42"/>
      <c r="AS65" s="19"/>
      <c r="AT65" s="19"/>
      <c r="AU65" s="19"/>
      <c r="AV65" s="42"/>
      <c r="AW65" s="19"/>
      <c r="AX65" s="19"/>
      <c r="AY65" s="19"/>
      <c r="AZ65" s="42"/>
      <c r="BA65" s="19"/>
      <c r="BB65" s="19"/>
      <c r="BC65" s="19"/>
      <c r="BD65" s="42"/>
      <c r="BE65" s="19"/>
      <c r="BF65" s="19"/>
      <c r="BG65" s="19"/>
      <c r="BH65" s="42"/>
      <c r="BI65" s="19"/>
      <c r="BJ65" s="19"/>
      <c r="BK65" s="19"/>
      <c r="BL65" s="42"/>
      <c r="BM65" s="19"/>
      <c r="BN65" s="19"/>
      <c r="BO65" s="19"/>
      <c r="BP65" s="42"/>
    </row>
    <row r="66" spans="1:69" ht="41" customHeight="1" x14ac:dyDescent="0.35">
      <c r="B66" s="224"/>
      <c r="C66" s="173" t="s">
        <v>66</v>
      </c>
      <c r="D66" s="174">
        <v>2</v>
      </c>
      <c r="E66" s="174"/>
      <c r="F66" s="175"/>
      <c r="G66" s="175"/>
      <c r="H66" s="157"/>
      <c r="I66" s="177">
        <v>44958</v>
      </c>
      <c r="J66" s="187">
        <v>45047</v>
      </c>
      <c r="K66" s="212">
        <f>J66-I66</f>
        <v>89</v>
      </c>
      <c r="M66" s="143"/>
      <c r="N66" s="4"/>
      <c r="O66" s="4"/>
      <c r="P66" s="42"/>
      <c r="Q66" s="19"/>
      <c r="R66" s="19"/>
      <c r="S66" s="19"/>
      <c r="T66" s="42"/>
      <c r="U66" s="19"/>
      <c r="V66" s="19"/>
      <c r="W66" s="19"/>
      <c r="X66" s="42"/>
      <c r="Y66" s="57"/>
      <c r="Z66" s="57"/>
      <c r="AA66" s="57"/>
      <c r="AB66" s="57"/>
      <c r="AC66" s="57"/>
      <c r="AD66" s="57"/>
      <c r="AE66" s="57"/>
      <c r="AF66" s="57"/>
      <c r="AG66" s="57"/>
      <c r="AH66" s="57"/>
      <c r="AI66" s="57"/>
      <c r="AJ66" s="57"/>
      <c r="AK66" s="57"/>
      <c r="AL66" s="57"/>
      <c r="AM66" s="57"/>
      <c r="AN66" s="57"/>
      <c r="AO66" s="19"/>
      <c r="AP66" s="19"/>
      <c r="AQ66" s="19"/>
      <c r="AR66" s="42"/>
      <c r="AS66" s="19"/>
      <c r="AT66" s="19"/>
      <c r="AU66" s="19"/>
      <c r="AV66" s="42"/>
      <c r="AW66" s="19"/>
      <c r="AX66" s="19"/>
      <c r="AY66" s="19"/>
      <c r="AZ66" s="42"/>
      <c r="BA66" s="19"/>
      <c r="BB66" s="19"/>
      <c r="BC66" s="19"/>
      <c r="BD66" s="42"/>
      <c r="BE66" s="19"/>
      <c r="BF66" s="19"/>
      <c r="BG66" s="19"/>
      <c r="BH66" s="42"/>
      <c r="BI66" s="19"/>
      <c r="BJ66" s="19"/>
      <c r="BK66" s="19"/>
      <c r="BL66" s="42"/>
      <c r="BM66" s="19"/>
      <c r="BN66" s="19"/>
      <c r="BO66" s="19"/>
      <c r="BP66" s="42"/>
    </row>
    <row r="67" spans="1:69" s="1" customFormat="1" ht="11" customHeight="1" x14ac:dyDescent="0.35">
      <c r="A67" s="3"/>
      <c r="B67" s="105"/>
      <c r="C67" s="105"/>
      <c r="D67" s="94"/>
      <c r="E67" s="81"/>
      <c r="F67" s="81"/>
      <c r="G67" s="81"/>
      <c r="H67" s="82"/>
      <c r="I67" s="98"/>
      <c r="J67" s="83"/>
      <c r="K67" s="84"/>
      <c r="L67" s="7"/>
      <c r="M67" s="143"/>
      <c r="N67" s="4"/>
      <c r="O67" s="4"/>
      <c r="P67" s="42"/>
      <c r="Q67" s="19"/>
      <c r="R67" s="4"/>
      <c r="S67" s="4"/>
      <c r="T67" s="42"/>
      <c r="U67" s="19"/>
      <c r="V67" s="4"/>
      <c r="W67" s="4"/>
      <c r="X67" s="42"/>
      <c r="Y67" s="46"/>
      <c r="Z67" s="4"/>
      <c r="AA67" s="4"/>
      <c r="AB67" s="42"/>
      <c r="AC67" s="46"/>
      <c r="AD67" s="4"/>
      <c r="AE67" s="4"/>
      <c r="AF67" s="42"/>
      <c r="AG67" s="46"/>
      <c r="AH67" s="4"/>
      <c r="AI67" s="4"/>
      <c r="AJ67" s="42"/>
      <c r="AK67" s="46"/>
      <c r="AL67" s="4"/>
      <c r="AM67" s="4"/>
      <c r="AN67" s="42"/>
      <c r="AO67" s="46"/>
      <c r="AP67" s="4"/>
      <c r="AQ67" s="4"/>
      <c r="AR67" s="42"/>
      <c r="AS67" s="46"/>
      <c r="AT67" s="4"/>
      <c r="AU67" s="4"/>
      <c r="AV67" s="42"/>
      <c r="AW67" s="46"/>
      <c r="AX67" s="4"/>
      <c r="AY67" s="4"/>
      <c r="AZ67" s="42"/>
      <c r="BA67" s="46"/>
      <c r="BB67" s="4"/>
      <c r="BC67" s="4"/>
      <c r="BD67" s="42"/>
      <c r="BE67" s="46"/>
      <c r="BF67" s="4"/>
      <c r="BG67" s="4"/>
      <c r="BH67" s="42"/>
      <c r="BI67" s="46"/>
      <c r="BJ67" s="4"/>
      <c r="BK67" s="4"/>
      <c r="BL67" s="42"/>
      <c r="BM67" s="46"/>
      <c r="BN67" s="4"/>
      <c r="BO67" s="4"/>
      <c r="BP67" s="42"/>
      <c r="BQ67" s="6"/>
    </row>
    <row r="68" spans="1:69" ht="70" customHeight="1" x14ac:dyDescent="0.5">
      <c r="B68" s="223" t="s">
        <v>67</v>
      </c>
      <c r="C68" s="158" t="s">
        <v>72</v>
      </c>
      <c r="D68" s="153">
        <v>2</v>
      </c>
      <c r="E68" s="160"/>
      <c r="F68" s="154"/>
      <c r="G68" s="154"/>
      <c r="H68" s="259" t="s">
        <v>75</v>
      </c>
      <c r="I68" s="164">
        <v>44927</v>
      </c>
      <c r="J68" s="210">
        <v>45200</v>
      </c>
      <c r="K68" s="211">
        <f>J68-I68</f>
        <v>273</v>
      </c>
      <c r="M68" s="143"/>
      <c r="N68" s="4"/>
      <c r="O68" s="4"/>
      <c r="P68" s="42"/>
      <c r="Q68" s="19"/>
      <c r="R68" s="4"/>
      <c r="S68" s="4"/>
      <c r="T68" s="42"/>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46"/>
      <c r="BF68" s="4"/>
      <c r="BG68" s="4"/>
      <c r="BH68" s="42"/>
      <c r="BI68" s="46"/>
      <c r="BJ68" s="4"/>
      <c r="BK68" s="4"/>
      <c r="BL68" s="42"/>
      <c r="BM68" s="46"/>
      <c r="BN68" s="4"/>
      <c r="BO68" s="4"/>
      <c r="BP68" s="42"/>
    </row>
    <row r="69" spans="1:69" ht="56.5" customHeight="1" x14ac:dyDescent="0.5">
      <c r="B69" s="229"/>
      <c r="C69" s="91" t="s">
        <v>73</v>
      </c>
      <c r="D69" s="117">
        <v>2</v>
      </c>
      <c r="E69" s="161"/>
      <c r="F69" s="77"/>
      <c r="G69" s="77"/>
      <c r="H69" s="260"/>
      <c r="I69" s="176">
        <v>44927</v>
      </c>
      <c r="J69" s="182">
        <v>44986</v>
      </c>
      <c r="K69" s="183">
        <f>J69-I69</f>
        <v>59</v>
      </c>
      <c r="M69" s="143"/>
      <c r="N69" s="4"/>
      <c r="O69" s="4"/>
      <c r="P69" s="42"/>
      <c r="Q69" s="19"/>
      <c r="R69" s="4"/>
      <c r="S69" s="4"/>
      <c r="T69" s="42"/>
      <c r="U69" s="64"/>
      <c r="V69" s="64"/>
      <c r="W69" s="64"/>
      <c r="X69" s="64"/>
      <c r="Y69" s="64"/>
      <c r="Z69" s="64"/>
      <c r="AA69" s="64"/>
      <c r="AB69" s="64"/>
      <c r="AC69" s="64"/>
      <c r="AD69" s="64"/>
      <c r="AE69" s="64"/>
      <c r="AF69" s="64"/>
      <c r="AG69" s="64"/>
      <c r="AH69" s="64"/>
      <c r="AI69" s="64"/>
      <c r="AJ69" s="64"/>
      <c r="AK69" s="46"/>
      <c r="AL69" s="4"/>
      <c r="AM69" s="4"/>
      <c r="AN69" s="42"/>
      <c r="AO69" s="46"/>
      <c r="AP69" s="4"/>
      <c r="AQ69" s="4"/>
      <c r="AR69" s="42"/>
      <c r="AS69" s="46"/>
      <c r="AT69" s="4"/>
      <c r="AU69" s="4"/>
      <c r="AV69" s="42"/>
      <c r="AW69" s="46"/>
      <c r="AX69" s="4"/>
      <c r="AY69" s="4"/>
      <c r="AZ69" s="42"/>
      <c r="BA69" s="46"/>
      <c r="BB69" s="4"/>
      <c r="BC69" s="4"/>
      <c r="BD69" s="42"/>
      <c r="BE69" s="46"/>
      <c r="BF69" s="4"/>
      <c r="BG69" s="4"/>
      <c r="BH69" s="42"/>
      <c r="BI69" s="46"/>
      <c r="BJ69" s="4"/>
      <c r="BK69" s="4"/>
      <c r="BL69" s="42"/>
      <c r="BM69" s="46"/>
      <c r="BN69" s="4"/>
      <c r="BO69" s="4"/>
      <c r="BP69" s="42"/>
    </row>
    <row r="70" spans="1:69" ht="52.5" customHeight="1" x14ac:dyDescent="0.5">
      <c r="B70" s="229"/>
      <c r="C70" s="92" t="s">
        <v>74</v>
      </c>
      <c r="D70" s="119">
        <v>2</v>
      </c>
      <c r="F70" s="80"/>
      <c r="G70" s="80"/>
      <c r="H70" s="260"/>
      <c r="I70" s="180">
        <v>45047</v>
      </c>
      <c r="J70" s="189">
        <v>45260</v>
      </c>
      <c r="K70" s="190">
        <f>J70-I70</f>
        <v>213</v>
      </c>
      <c r="M70" s="143"/>
      <c r="N70" s="4"/>
      <c r="O70" s="4"/>
      <c r="P70" s="42"/>
      <c r="Q70" s="19"/>
      <c r="R70" s="4"/>
      <c r="S70" s="4"/>
      <c r="T70" s="42"/>
      <c r="U70" s="19"/>
      <c r="V70" s="4"/>
      <c r="W70" s="4"/>
      <c r="X70" s="42"/>
      <c r="Y70" s="19"/>
      <c r="Z70" s="4"/>
      <c r="AA70" s="4"/>
      <c r="AB70" s="42"/>
      <c r="AC70" s="19"/>
      <c r="AD70" s="4"/>
      <c r="AE70" s="4"/>
      <c r="AF70" s="42"/>
      <c r="AG70" s="19"/>
      <c r="AH70" s="4"/>
      <c r="AI70" s="4"/>
      <c r="AJ70" s="42"/>
      <c r="AK70" s="64"/>
      <c r="AL70" s="64"/>
      <c r="AM70" s="64"/>
      <c r="AN70" s="64"/>
      <c r="AO70" s="64"/>
      <c r="AP70" s="64"/>
      <c r="AQ70" s="64"/>
      <c r="AR70" s="64"/>
      <c r="AS70" s="64"/>
      <c r="AT70" s="64"/>
      <c r="AU70" s="64"/>
      <c r="AV70" s="64"/>
      <c r="AW70" s="64"/>
      <c r="AX70" s="64"/>
      <c r="AY70" s="64"/>
      <c r="AZ70" s="64"/>
      <c r="BA70" s="64"/>
      <c r="BB70" s="64"/>
      <c r="BC70" s="64"/>
      <c r="BD70" s="64"/>
      <c r="BE70" s="64"/>
      <c r="BF70" s="64"/>
      <c r="BG70" s="64"/>
      <c r="BH70" s="64"/>
      <c r="BI70" s="64"/>
      <c r="BJ70" s="64"/>
      <c r="BK70" s="64"/>
      <c r="BL70" s="64"/>
      <c r="BM70" s="46"/>
      <c r="BN70" s="4"/>
      <c r="BO70" s="4"/>
      <c r="BP70" s="42"/>
    </row>
    <row r="71" spans="1:69" ht="52.5" customHeight="1" x14ac:dyDescent="0.5">
      <c r="B71" s="229"/>
      <c r="C71" s="91" t="s">
        <v>76</v>
      </c>
      <c r="D71" s="117">
        <v>2</v>
      </c>
      <c r="E71" s="161"/>
      <c r="F71" s="77"/>
      <c r="G71" s="77"/>
      <c r="H71" s="260"/>
      <c r="I71" s="262" t="s">
        <v>81</v>
      </c>
      <c r="J71" s="254"/>
      <c r="K71" s="254"/>
      <c r="M71" s="143"/>
      <c r="N71" s="4"/>
      <c r="O71" s="4"/>
      <c r="P71" s="42"/>
      <c r="Q71" s="19"/>
      <c r="R71" s="4"/>
      <c r="S71" s="4"/>
      <c r="T71" s="42"/>
      <c r="U71" s="129"/>
      <c r="V71" s="129"/>
      <c r="W71" s="129"/>
      <c r="X71" s="129"/>
      <c r="Y71" s="129"/>
      <c r="Z71" s="129"/>
      <c r="AA71" s="129"/>
      <c r="AB71" s="129"/>
      <c r="AC71" s="129"/>
      <c r="AD71" s="129"/>
      <c r="AE71" s="129"/>
      <c r="AF71" s="129"/>
      <c r="AG71" s="129"/>
      <c r="AH71" s="129"/>
      <c r="AI71" s="129"/>
      <c r="AJ71" s="129"/>
      <c r="AK71" s="129"/>
      <c r="AL71" s="129"/>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29"/>
    </row>
    <row r="72" spans="1:69" ht="50" customHeight="1" x14ac:dyDescent="0.5">
      <c r="B72" s="229"/>
      <c r="C72" s="181" t="s">
        <v>79</v>
      </c>
      <c r="D72" s="119">
        <v>2</v>
      </c>
      <c r="H72" s="260"/>
      <c r="I72" s="257"/>
      <c r="J72" s="258"/>
      <c r="K72" s="258"/>
      <c r="M72" s="143"/>
      <c r="N72" s="4"/>
      <c r="O72" s="4"/>
      <c r="P72" s="42"/>
      <c r="Q72" s="19"/>
      <c r="R72" s="4"/>
      <c r="S72" s="4"/>
      <c r="T72" s="42"/>
      <c r="U72" s="19"/>
      <c r="V72" s="4"/>
      <c r="W72" s="4"/>
      <c r="X72" s="42"/>
      <c r="Y72" s="57"/>
      <c r="Z72" s="57"/>
      <c r="AA72" s="57"/>
      <c r="AB72" s="57"/>
      <c r="AC72" s="19"/>
      <c r="AD72" s="4"/>
      <c r="AE72" s="4"/>
      <c r="AF72" s="42"/>
      <c r="AG72" s="57"/>
      <c r="AH72" s="57"/>
      <c r="AI72" s="57"/>
      <c r="AJ72" s="57"/>
      <c r="AK72" s="19"/>
      <c r="AL72" s="4"/>
      <c r="AM72" s="4"/>
      <c r="AN72" s="42"/>
      <c r="AO72" s="57"/>
      <c r="AP72" s="57"/>
      <c r="AQ72" s="57"/>
      <c r="AR72" s="57"/>
      <c r="AS72" s="19"/>
      <c r="AT72" s="4"/>
      <c r="AU72" s="4"/>
      <c r="AV72" s="42"/>
      <c r="AW72" s="57"/>
      <c r="AX72" s="57"/>
      <c r="AY72" s="57"/>
      <c r="AZ72" s="57"/>
      <c r="BA72" s="19"/>
      <c r="BB72" s="4"/>
      <c r="BC72" s="4"/>
      <c r="BD72" s="42"/>
      <c r="BE72" s="57"/>
      <c r="BF72" s="57"/>
      <c r="BG72" s="57"/>
      <c r="BH72" s="57"/>
      <c r="BI72" s="19"/>
      <c r="BJ72" s="4"/>
      <c r="BK72" s="4"/>
      <c r="BL72" s="42"/>
      <c r="BM72" s="57"/>
      <c r="BN72" s="57"/>
      <c r="BO72" s="57"/>
      <c r="BP72" s="57"/>
    </row>
    <row r="73" spans="1:69" ht="54" customHeight="1" x14ac:dyDescent="0.5">
      <c r="B73" s="229"/>
      <c r="C73" s="178" t="s">
        <v>80</v>
      </c>
      <c r="D73" s="179">
        <v>2</v>
      </c>
      <c r="E73" s="162"/>
      <c r="F73" s="162"/>
      <c r="G73" s="162"/>
      <c r="H73" s="261"/>
      <c r="I73" s="214"/>
      <c r="J73" s="214"/>
      <c r="K73" s="214"/>
      <c r="M73" s="143"/>
      <c r="N73" s="4"/>
      <c r="O73" s="4"/>
      <c r="P73" s="42"/>
      <c r="Q73" s="19"/>
      <c r="R73" s="4"/>
      <c r="S73" s="4"/>
      <c r="T73" s="42"/>
      <c r="U73" s="19"/>
      <c r="V73" s="4"/>
      <c r="W73" s="4"/>
      <c r="X73" s="42"/>
      <c r="Y73" s="19"/>
      <c r="Z73" s="4"/>
      <c r="AA73" s="4"/>
      <c r="AB73" s="42"/>
      <c r="AC73" s="129"/>
      <c r="AD73" s="129"/>
      <c r="AE73" s="129"/>
      <c r="AF73" s="129"/>
      <c r="AG73" s="19"/>
      <c r="AH73" s="4"/>
      <c r="AI73" s="4"/>
      <c r="AJ73" s="42"/>
      <c r="AK73" s="129"/>
      <c r="AL73" s="129"/>
      <c r="AM73" s="129"/>
      <c r="AN73" s="129"/>
      <c r="AO73" s="19"/>
      <c r="AP73" s="4"/>
      <c r="AQ73" s="4"/>
      <c r="AR73" s="42"/>
      <c r="AS73" s="129"/>
      <c r="AT73" s="129"/>
      <c r="AU73" s="129"/>
      <c r="AV73" s="129"/>
      <c r="AW73" s="19"/>
      <c r="AX73" s="4"/>
      <c r="AY73" s="4"/>
      <c r="AZ73" s="42"/>
      <c r="BA73" s="129"/>
      <c r="BB73" s="129"/>
      <c r="BC73" s="129"/>
      <c r="BD73" s="129"/>
      <c r="BE73" s="19"/>
      <c r="BF73" s="4"/>
      <c r="BG73" s="4"/>
      <c r="BH73" s="42"/>
      <c r="BI73" s="129"/>
      <c r="BJ73" s="129"/>
      <c r="BK73" s="129"/>
      <c r="BL73" s="129"/>
      <c r="BM73" s="19"/>
      <c r="BN73" s="4"/>
      <c r="BO73" s="4"/>
      <c r="BP73" s="42"/>
    </row>
    <row r="74" spans="1:69" ht="30" customHeight="1" x14ac:dyDescent="0.5">
      <c r="H74" s="163"/>
    </row>
    <row r="75" spans="1:69" ht="30" customHeight="1" x14ac:dyDescent="0.5">
      <c r="H75" s="163"/>
    </row>
    <row r="76" spans="1:69" ht="30" customHeight="1" x14ac:dyDescent="0.5">
      <c r="H76" s="163"/>
    </row>
    <row r="77" spans="1:69" ht="30" customHeight="1" x14ac:dyDescent="0.5">
      <c r="H77" s="163"/>
    </row>
    <row r="78" spans="1:69" ht="30" customHeight="1" x14ac:dyDescent="0.5">
      <c r="H78" s="163"/>
    </row>
    <row r="79" spans="1:69" ht="30" customHeight="1" x14ac:dyDescent="0.5">
      <c r="H79" s="163"/>
    </row>
    <row r="80" spans="1:69" ht="30" customHeight="1" x14ac:dyDescent="0.5">
      <c r="H80" s="163"/>
    </row>
    <row r="81" spans="8:8" ht="30" customHeight="1" x14ac:dyDescent="0.5">
      <c r="H81" s="163"/>
    </row>
    <row r="82" spans="8:8" ht="30" customHeight="1" x14ac:dyDescent="0.5">
      <c r="H82" s="163"/>
    </row>
    <row r="83" spans="8:8" ht="30" customHeight="1" x14ac:dyDescent="0.5">
      <c r="H83" s="163"/>
    </row>
    <row r="84" spans="8:8" ht="30" customHeight="1" x14ac:dyDescent="0.5">
      <c r="H84" s="163"/>
    </row>
    <row r="85" spans="8:8" ht="30" customHeight="1" x14ac:dyDescent="0.5">
      <c r="H85" s="163"/>
    </row>
    <row r="86" spans="8:8" ht="30" customHeight="1" x14ac:dyDescent="0.5">
      <c r="H86" s="163"/>
    </row>
    <row r="87" spans="8:8" ht="30" customHeight="1" x14ac:dyDescent="0.5">
      <c r="H87" s="163"/>
    </row>
    <row r="88" spans="8:8" ht="30" customHeight="1" x14ac:dyDescent="0.5">
      <c r="H88" s="163"/>
    </row>
    <row r="89" spans="8:8" ht="30" customHeight="1" x14ac:dyDescent="0.5">
      <c r="H89" s="163"/>
    </row>
    <row r="90" spans="8:8" ht="30" customHeight="1" x14ac:dyDescent="0.5">
      <c r="H90" s="163"/>
    </row>
    <row r="91" spans="8:8" ht="30" customHeight="1" x14ac:dyDescent="0.5">
      <c r="H91" s="163"/>
    </row>
    <row r="92" spans="8:8" ht="30" customHeight="1" x14ac:dyDescent="0.5">
      <c r="H92" s="163"/>
    </row>
    <row r="93" spans="8:8" ht="30" customHeight="1" x14ac:dyDescent="0.5">
      <c r="H93" s="163"/>
    </row>
    <row r="94" spans="8:8" ht="30" customHeight="1" x14ac:dyDescent="0.5">
      <c r="H94" s="163"/>
    </row>
    <row r="95" spans="8:8" ht="30" customHeight="1" x14ac:dyDescent="0.5">
      <c r="H95" s="163"/>
    </row>
    <row r="96" spans="8:8" ht="30" customHeight="1" x14ac:dyDescent="0.5">
      <c r="H96" s="163"/>
    </row>
    <row r="97" spans="8:8" ht="30" customHeight="1" x14ac:dyDescent="0.5">
      <c r="H97" s="163"/>
    </row>
    <row r="98" spans="8:8" ht="30" customHeight="1" x14ac:dyDescent="0.5">
      <c r="H98" s="163"/>
    </row>
    <row r="99" spans="8:8" ht="30" customHeight="1" x14ac:dyDescent="0.5">
      <c r="H99" s="163"/>
    </row>
    <row r="100" spans="8:8" ht="30" customHeight="1" x14ac:dyDescent="0.5">
      <c r="H100" s="163"/>
    </row>
    <row r="101" spans="8:8" ht="30" customHeight="1" x14ac:dyDescent="0.5">
      <c r="H101" s="163"/>
    </row>
  </sheetData>
  <dataConsolidate/>
  <mergeCells count="46">
    <mergeCell ref="I60:K60"/>
    <mergeCell ref="I61:K61"/>
    <mergeCell ref="B64:B66"/>
    <mergeCell ref="I72:K72"/>
    <mergeCell ref="H68:H73"/>
    <mergeCell ref="I71:K71"/>
    <mergeCell ref="B56:B62"/>
    <mergeCell ref="B68:B73"/>
    <mergeCell ref="H8:H9"/>
    <mergeCell ref="B37:B49"/>
    <mergeCell ref="H37:H49"/>
    <mergeCell ref="I51:K51"/>
    <mergeCell ref="B12:B19"/>
    <mergeCell ref="B28:B33"/>
    <mergeCell ref="H28:H33"/>
    <mergeCell ref="H12:H19"/>
    <mergeCell ref="C8:C9"/>
    <mergeCell ref="B8:B9"/>
    <mergeCell ref="D8:G8"/>
    <mergeCell ref="I49:K49"/>
    <mergeCell ref="U6:X6"/>
    <mergeCell ref="Y6:AB6"/>
    <mergeCell ref="AC6:AF6"/>
    <mergeCell ref="AG6:AJ6"/>
    <mergeCell ref="AG4:AM4"/>
    <mergeCell ref="B2:L2"/>
    <mergeCell ref="M2:R2"/>
    <mergeCell ref="S2:X2"/>
    <mergeCell ref="M4:R4"/>
    <mergeCell ref="T4:AE4"/>
    <mergeCell ref="BM6:BP6"/>
    <mergeCell ref="B51:B52"/>
    <mergeCell ref="I52:K52"/>
    <mergeCell ref="H51:H52"/>
    <mergeCell ref="B21:B26"/>
    <mergeCell ref="H21:H26"/>
    <mergeCell ref="BI6:BL6"/>
    <mergeCell ref="I8:K8"/>
    <mergeCell ref="AK6:AN6"/>
    <mergeCell ref="AO6:AR6"/>
    <mergeCell ref="AS6:AV6"/>
    <mergeCell ref="AW6:AZ6"/>
    <mergeCell ref="BA6:BD6"/>
    <mergeCell ref="BE6:BH6"/>
    <mergeCell ref="M6:P6"/>
    <mergeCell ref="Q6:T6"/>
  </mergeCells>
  <conditionalFormatting sqref="I9:I11">
    <cfRule type="dataBar" priority="1516">
      <dataBar>
        <cfvo type="num" val="0"/>
        <cfvo type="num" val="1"/>
        <color theme="9" tint="0.59999389629810485"/>
      </dataBar>
      <extLst>
        <ext xmlns:x14="http://schemas.microsoft.com/office/spreadsheetml/2009/9/main" uri="{B025F937-C7B1-47D3-B67F-A62EFF666E3E}">
          <x14:id>{17F9DC15-6959-4F2F-A37B-8EED7FB8B66C}</x14:id>
        </ext>
      </extLst>
    </cfRule>
  </conditionalFormatting>
  <conditionalFormatting sqref="BI51:BL52 AW53:BL53 D13 BM51:BP53 M7:BK11 Q21:V21 D56:D59 D62 E56:E61 Q55:T57 D42 F41:F42 AK47:AN48 Q49:BK54 BI49:BL49 AA31 AB12:AB37 BM7:BO54 M12:P54 AM12:BK48 E44:G44 M65:P65">
    <cfRule type="expression" dxfId="506" priority="1513">
      <formula>AND(TODAY()&gt;=D$7,TODAY()&lt;E$7)</formula>
    </cfRule>
  </conditionalFormatting>
  <conditionalFormatting sqref="M6 Q6 U6 Y6 AG6 AO6 AW6 BE6 BM6 AC6 AK6 AS6 BA6 BI6">
    <cfRule type="expression" dxfId="505" priority="1515">
      <formula>M$7&lt;=EOMONTH($M$7,0)</formula>
    </cfRule>
  </conditionalFormatting>
  <conditionalFormatting sqref="M6 Q6 U6 Y6 AG6 AO6 AW6 BE6 BM6 AC6 AK6 AS6 BA6 BI6">
    <cfRule type="expression" dxfId="504" priority="1514">
      <formula>AND(M$7&lt;=EOMONTH($M$7,1),M$7&gt;EOMONTH($M$7,0))</formula>
    </cfRule>
  </conditionalFormatting>
  <conditionalFormatting sqref="G17 E16:F16 D13 D14:E16 F18:G21 G26 F32:G32 F22 F25 G33 E23:F24 E30 E31:F31 D28:D31 E26 M10:BP11 D35:F35 D37:F38 Q21:V21 E39:F40 D42 F41:F42 AA31 AB12:AB37 M12:P43 AM12:BP43 E43:G43 AO51:AR52 M46:P54 M56:P59 Q58:T59 M61:P64 M60 D54:E54 E46 E51:G52 D52 E49:G49 D47:G48 D56:E59 D64:E64 D62 D69:D71 AM46:BP48 AK47:AN48 Q49:BP50">
    <cfRule type="expression" dxfId="503" priority="1517" stopIfTrue="1">
      <formula>AND(#REF!="Low Risk",D$7&gt;=$J10,D$7&lt;=$J10+$K10-1)</formula>
    </cfRule>
    <cfRule type="expression" dxfId="502" priority="1518" stopIfTrue="1">
      <formula>AND(#REF!="High Risk",D$7&gt;=$J10,D$7&lt;=$J10+$K10-1)</formula>
    </cfRule>
    <cfRule type="expression" dxfId="501" priority="1519" stopIfTrue="1">
      <formula>AND(#REF!="On Track",D$7&gt;=$J10,D$7&lt;=$J10+$K10-1)</formula>
    </cfRule>
    <cfRule type="expression" dxfId="500" priority="1520" stopIfTrue="1">
      <formula>AND(#REF!="Med Risk",D$7&gt;=$J10,D$7&lt;=$J10+$K10-1)</formula>
    </cfRule>
    <cfRule type="expression" dxfId="499" priority="1521" stopIfTrue="1">
      <formula>AND(LEN(#REF!)=0,D$7&gt;=$J10,D$7&lt;=$J10+$K10-1)</formula>
    </cfRule>
  </conditionalFormatting>
  <conditionalFormatting sqref="Q49:AD50 Q51:BP54 Q55:T57">
    <cfRule type="expression" dxfId="498" priority="1522" stopIfTrue="1">
      <formula>AND(#REF!="Low Risk",Q$7&gt;=#REF!,Q$7&lt;=#REF!+#REF!-1)</formula>
    </cfRule>
    <cfRule type="expression" dxfId="497" priority="1523" stopIfTrue="1">
      <formula>AND(#REF!="High Risk",Q$7&gt;=#REF!,Q$7&lt;=#REF!+#REF!-1)</formula>
    </cfRule>
    <cfRule type="expression" dxfId="496" priority="1524" stopIfTrue="1">
      <formula>AND(#REF!="On Track",Q$7&gt;=#REF!,Q$7&lt;=#REF!+#REF!-1)</formula>
    </cfRule>
    <cfRule type="expression" dxfId="495" priority="1525" stopIfTrue="1">
      <formula>AND(#REF!="Med Risk",Q$7&gt;=#REF!,Q$7&lt;=#REF!+#REF!-1)</formula>
    </cfRule>
    <cfRule type="expression" dxfId="494" priority="1526" stopIfTrue="1">
      <formula>AND(LEN(#REF!)=0,Q$7&gt;=#REF!,Q$7&lt;=#REF!+#REF!-1)</formula>
    </cfRule>
  </conditionalFormatting>
  <conditionalFormatting sqref="AB36:AC37 AF36:AF37 AC38:AF40 AI44:AJ44 AG36:AH48">
    <cfRule type="expression" dxfId="493" priority="1511">
      <formula>AND(TODAY()&gt;=T$7,TODAY()&lt;U$7)</formula>
    </cfRule>
  </conditionalFormatting>
  <conditionalFormatting sqref="AB36:AC37 AF36:AF37 AC38:AF40 AG36:AH48">
    <cfRule type="expression" dxfId="492" priority="1532" stopIfTrue="1">
      <formula>AND(#REF!="Low Risk",T$7&gt;=#REF!,T$7&lt;=#REF!+#REF!-1)</formula>
    </cfRule>
    <cfRule type="expression" dxfId="491" priority="1533" stopIfTrue="1">
      <formula>AND(#REF!="High Risk",T$7&gt;=#REF!,T$7&lt;=#REF!+#REF!-1)</formula>
    </cfRule>
    <cfRule type="expression" dxfId="490" priority="1534" stopIfTrue="1">
      <formula>AND(#REF!="On Track",T$7&gt;=#REF!,T$7&lt;=#REF!+#REF!-1)</formula>
    </cfRule>
    <cfRule type="expression" dxfId="489" priority="1535" stopIfTrue="1">
      <formula>AND(#REF!="Med Risk",T$7&gt;=#REF!,T$7&lt;=#REF!+#REF!-1)</formula>
    </cfRule>
    <cfRule type="expression" dxfId="488" priority="1536" stopIfTrue="1">
      <formula>AND(LEN(#REF!)=0,T$7&gt;=#REF!,T$7&lt;=#REF!+#REF!-1)</formula>
    </cfRule>
  </conditionalFormatting>
  <conditionalFormatting sqref="AG51:AJ52 AC49:AD52 Q12:AL48 U65:X65">
    <cfRule type="expression" dxfId="487" priority="1480">
      <formula>AND(TODAY()&gt;=M$7,TODAY()&lt;N$7)</formula>
    </cfRule>
  </conditionalFormatting>
  <conditionalFormatting sqref="AG51:AJ52">
    <cfRule type="expression" dxfId="486" priority="1481" stopIfTrue="1">
      <formula>AND(#REF!="Low Risk",AC$7&gt;=#REF!,AC$7&lt;=#REF!+#REF!-1)</formula>
    </cfRule>
    <cfRule type="expression" dxfId="485" priority="1482" stopIfTrue="1">
      <formula>AND(#REF!="High Risk",AC$7&gt;=#REF!,AC$7&lt;=#REF!+#REF!-1)</formula>
    </cfRule>
    <cfRule type="expression" dxfId="484" priority="1483" stopIfTrue="1">
      <formula>AND(#REF!="On Track",AC$7&gt;=#REF!,AC$7&lt;=#REF!+#REF!-1)</formula>
    </cfRule>
    <cfRule type="expression" dxfId="483" priority="1484" stopIfTrue="1">
      <formula>AND(#REF!="Med Risk",AC$7&gt;=#REF!,AC$7&lt;=#REF!+#REF!-1)</formula>
    </cfRule>
    <cfRule type="expression" dxfId="482" priority="1485" stopIfTrue="1">
      <formula>AND(LEN(#REF!)=0,AC$7&gt;=#REF!,AC$7&lt;=#REF!+#REF!-1)</formula>
    </cfRule>
  </conditionalFormatting>
  <conditionalFormatting sqref="AG51:AJ52">
    <cfRule type="expression" dxfId="481" priority="1474">
      <formula>AND(TODAY()&gt;=AC$7,TODAY()&lt;AD$7)</formula>
    </cfRule>
  </conditionalFormatting>
  <conditionalFormatting sqref="AG51:AJ52">
    <cfRule type="expression" dxfId="480" priority="1475" stopIfTrue="1">
      <formula>AND(#REF!="Low Risk",AC$7&gt;=#REF!,AC$7&lt;=#REF!+#REF!-1)</formula>
    </cfRule>
    <cfRule type="expression" dxfId="479" priority="1476" stopIfTrue="1">
      <formula>AND(#REF!="High Risk",AC$7&gt;=#REF!,AC$7&lt;=#REF!+#REF!-1)</formula>
    </cfRule>
    <cfRule type="expression" dxfId="478" priority="1477" stopIfTrue="1">
      <formula>AND(#REF!="On Track",AC$7&gt;=#REF!,AC$7&lt;=#REF!+#REF!-1)</formula>
    </cfRule>
    <cfRule type="expression" dxfId="477" priority="1478" stopIfTrue="1">
      <formula>AND(#REF!="Med Risk",AC$7&gt;=#REF!,AC$7&lt;=#REF!+#REF!-1)</formula>
    </cfRule>
    <cfRule type="expression" dxfId="476" priority="1479" stopIfTrue="1">
      <formula>AND(LEN(#REF!)=0,AC$7&gt;=#REF!,AC$7&lt;=#REF!+#REF!-1)</formula>
    </cfRule>
  </conditionalFormatting>
  <conditionalFormatting sqref="AK51:AN52">
    <cfRule type="expression" dxfId="475" priority="1468">
      <formula>AND(TODAY()&gt;=AG$7,TODAY()&lt;AH$7)</formula>
    </cfRule>
  </conditionalFormatting>
  <conditionalFormatting sqref="AK51:AN52">
    <cfRule type="expression" dxfId="474" priority="1469" stopIfTrue="1">
      <formula>AND(#REF!="Low Risk",AG$7&gt;=#REF!,AG$7&lt;=#REF!+#REF!-1)</formula>
    </cfRule>
    <cfRule type="expression" dxfId="473" priority="1470" stopIfTrue="1">
      <formula>AND(#REF!="High Risk",AG$7&gt;=#REF!,AG$7&lt;=#REF!+#REF!-1)</formula>
    </cfRule>
    <cfRule type="expression" dxfId="472" priority="1471" stopIfTrue="1">
      <formula>AND(#REF!="On Track",AG$7&gt;=#REF!,AG$7&lt;=#REF!+#REF!-1)</formula>
    </cfRule>
    <cfRule type="expression" dxfId="471" priority="1472" stopIfTrue="1">
      <formula>AND(#REF!="Med Risk",AG$7&gt;=#REF!,AG$7&lt;=#REF!+#REF!-1)</formula>
    </cfRule>
    <cfRule type="expression" dxfId="470" priority="1473" stopIfTrue="1">
      <formula>AND(LEN(#REF!)=0,AG$7&gt;=#REF!,AG$7&lt;=#REF!+#REF!-1)</formula>
    </cfRule>
  </conditionalFormatting>
  <conditionalFormatting sqref="AK51:AN52">
    <cfRule type="expression" dxfId="469" priority="1462">
      <formula>AND(TODAY()&gt;=AG$7,TODAY()&lt;AH$7)</formula>
    </cfRule>
  </conditionalFormatting>
  <conditionalFormatting sqref="AK51:AN52">
    <cfRule type="expression" dxfId="468" priority="1463" stopIfTrue="1">
      <formula>AND(#REF!="Low Risk",AG$7&gt;=#REF!,AG$7&lt;=#REF!+#REF!-1)</formula>
    </cfRule>
    <cfRule type="expression" dxfId="467" priority="1464" stopIfTrue="1">
      <formula>AND(#REF!="High Risk",AG$7&gt;=#REF!,AG$7&lt;=#REF!+#REF!-1)</formula>
    </cfRule>
    <cfRule type="expression" dxfId="466" priority="1465" stopIfTrue="1">
      <formula>AND(#REF!="On Track",AG$7&gt;=#REF!,AG$7&lt;=#REF!+#REF!-1)</formula>
    </cfRule>
    <cfRule type="expression" dxfId="465" priority="1466" stopIfTrue="1">
      <formula>AND(#REF!="Med Risk",AG$7&gt;=#REF!,AG$7&lt;=#REF!+#REF!-1)</formula>
    </cfRule>
    <cfRule type="expression" dxfId="464" priority="1467" stopIfTrue="1">
      <formula>AND(LEN(#REF!)=0,AG$7&gt;=#REF!,AG$7&lt;=#REF!+#REF!-1)</formula>
    </cfRule>
  </conditionalFormatting>
  <conditionalFormatting sqref="AK51:AN52">
    <cfRule type="expression" dxfId="463" priority="1456">
      <formula>AND(TODAY()&gt;=AG$7,TODAY()&lt;AH$7)</formula>
    </cfRule>
  </conditionalFormatting>
  <conditionalFormatting sqref="AK51:AN52">
    <cfRule type="expression" dxfId="462" priority="1457" stopIfTrue="1">
      <formula>AND(#REF!="Low Risk",AG$7&gt;=#REF!,AG$7&lt;=#REF!+#REF!-1)</formula>
    </cfRule>
    <cfRule type="expression" dxfId="461" priority="1458" stopIfTrue="1">
      <formula>AND(#REF!="High Risk",AG$7&gt;=#REF!,AG$7&lt;=#REF!+#REF!-1)</formula>
    </cfRule>
    <cfRule type="expression" dxfId="460" priority="1459" stopIfTrue="1">
      <formula>AND(#REF!="On Track",AG$7&gt;=#REF!,AG$7&lt;=#REF!+#REF!-1)</formula>
    </cfRule>
    <cfRule type="expression" dxfId="459" priority="1460" stopIfTrue="1">
      <formula>AND(#REF!="Med Risk",AG$7&gt;=#REF!,AG$7&lt;=#REF!+#REF!-1)</formula>
    </cfRule>
    <cfRule type="expression" dxfId="458" priority="1461" stopIfTrue="1">
      <formula>AND(LEN(#REF!)=0,AG$7&gt;=#REF!,AG$7&lt;=#REF!+#REF!-1)</formula>
    </cfRule>
  </conditionalFormatting>
  <conditionalFormatting sqref="BL7:BL54 BP7:BP54">
    <cfRule type="expression" dxfId="457" priority="1548">
      <formula>AND(TODAY()&gt;=BL$7,TODAY()&lt;#REF!)</formula>
    </cfRule>
  </conditionalFormatting>
  <conditionalFormatting sqref="AO51:AR52">
    <cfRule type="expression" dxfId="456" priority="1450">
      <formula>AND(TODAY()&gt;=AK$7,TODAY()&lt;AL$7)</formula>
    </cfRule>
  </conditionalFormatting>
  <conditionalFormatting sqref="AO51:AR52">
    <cfRule type="expression" dxfId="455" priority="1451" stopIfTrue="1">
      <formula>AND(#REF!="Low Risk",AK$7&gt;=#REF!,AK$7&lt;=#REF!+#REF!-1)</formula>
    </cfRule>
    <cfRule type="expression" dxfId="454" priority="1452" stopIfTrue="1">
      <formula>AND(#REF!="High Risk",AK$7&gt;=#REF!,AK$7&lt;=#REF!+#REF!-1)</formula>
    </cfRule>
    <cfRule type="expression" dxfId="453" priority="1453" stopIfTrue="1">
      <formula>AND(#REF!="On Track",AK$7&gt;=#REF!,AK$7&lt;=#REF!+#REF!-1)</formula>
    </cfRule>
    <cfRule type="expression" dxfId="452" priority="1454" stopIfTrue="1">
      <formula>AND(#REF!="Med Risk",AK$7&gt;=#REF!,AK$7&lt;=#REF!+#REF!-1)</formula>
    </cfRule>
    <cfRule type="expression" dxfId="451" priority="1455" stopIfTrue="1">
      <formula>AND(LEN(#REF!)=0,AK$7&gt;=#REF!,AK$7&lt;=#REF!+#REF!-1)</formula>
    </cfRule>
  </conditionalFormatting>
  <conditionalFormatting sqref="AO51:AR52">
    <cfRule type="expression" dxfId="450" priority="1444">
      <formula>AND(TODAY()&gt;=AK$7,TODAY()&lt;AL$7)</formula>
    </cfRule>
  </conditionalFormatting>
  <conditionalFormatting sqref="AO51:AR52">
    <cfRule type="expression" dxfId="449" priority="1445" stopIfTrue="1">
      <formula>AND(#REF!="Low Risk",AK$7&gt;=#REF!,AK$7&lt;=#REF!+#REF!-1)</formula>
    </cfRule>
    <cfRule type="expression" dxfId="448" priority="1446" stopIfTrue="1">
      <formula>AND(#REF!="High Risk",AK$7&gt;=#REF!,AK$7&lt;=#REF!+#REF!-1)</formula>
    </cfRule>
    <cfRule type="expression" dxfId="447" priority="1447" stopIfTrue="1">
      <formula>AND(#REF!="On Track",AK$7&gt;=#REF!,AK$7&lt;=#REF!+#REF!-1)</formula>
    </cfRule>
    <cfRule type="expression" dxfId="446" priority="1448" stopIfTrue="1">
      <formula>AND(#REF!="Med Risk",AK$7&gt;=#REF!,AK$7&lt;=#REF!+#REF!-1)</formula>
    </cfRule>
    <cfRule type="expression" dxfId="445" priority="1449" stopIfTrue="1">
      <formula>AND(LEN(#REF!)=0,AK$7&gt;=#REF!,AK$7&lt;=#REF!+#REF!-1)</formula>
    </cfRule>
  </conditionalFormatting>
  <conditionalFormatting sqref="AO51:AR52">
    <cfRule type="expression" dxfId="444" priority="1438">
      <formula>AND(TODAY()&gt;=AK$7,TODAY()&lt;AL$7)</formula>
    </cfRule>
  </conditionalFormatting>
  <conditionalFormatting sqref="AO51:AR52">
    <cfRule type="expression" dxfId="443" priority="1439" stopIfTrue="1">
      <formula>AND(#REF!="Low Risk",AK$7&gt;=#REF!,AK$7&lt;=#REF!+#REF!-1)</formula>
    </cfRule>
    <cfRule type="expression" dxfId="442" priority="1440" stopIfTrue="1">
      <formula>AND(#REF!="High Risk",AK$7&gt;=#REF!,AK$7&lt;=#REF!+#REF!-1)</formula>
    </cfRule>
    <cfRule type="expression" dxfId="441" priority="1441" stopIfTrue="1">
      <formula>AND(#REF!="On Track",AK$7&gt;=#REF!,AK$7&lt;=#REF!+#REF!-1)</formula>
    </cfRule>
    <cfRule type="expression" dxfId="440" priority="1442" stopIfTrue="1">
      <formula>AND(#REF!="Med Risk",AK$7&gt;=#REF!,AK$7&lt;=#REF!+#REF!-1)</formula>
    </cfRule>
    <cfRule type="expression" dxfId="439" priority="1443" stopIfTrue="1">
      <formula>AND(LEN(#REF!)=0,AK$7&gt;=#REF!,AK$7&lt;=#REF!+#REF!-1)</formula>
    </cfRule>
  </conditionalFormatting>
  <conditionalFormatting sqref="AW53:AZ53">
    <cfRule type="expression" dxfId="438" priority="1432">
      <formula>AND(TODAY()&gt;=AS$7,TODAY()&lt;AT$7)</formula>
    </cfRule>
  </conditionalFormatting>
  <conditionalFormatting sqref="AW53:AZ53">
    <cfRule type="expression" dxfId="437" priority="1433" stopIfTrue="1">
      <formula>AND(#REF!="Low Risk",AS$7&gt;=#REF!,AS$7&lt;=#REF!+#REF!-1)</formula>
    </cfRule>
    <cfRule type="expression" dxfId="436" priority="1434" stopIfTrue="1">
      <formula>AND(#REF!="High Risk",AS$7&gt;=#REF!,AS$7&lt;=#REF!+#REF!-1)</formula>
    </cfRule>
    <cfRule type="expression" dxfId="435" priority="1435" stopIfTrue="1">
      <formula>AND(#REF!="On Track",AS$7&gt;=#REF!,AS$7&lt;=#REF!+#REF!-1)</formula>
    </cfRule>
    <cfRule type="expression" dxfId="434" priority="1436" stopIfTrue="1">
      <formula>AND(#REF!="Med Risk",AS$7&gt;=#REF!,AS$7&lt;=#REF!+#REF!-1)</formula>
    </cfRule>
    <cfRule type="expression" dxfId="433" priority="1437" stopIfTrue="1">
      <formula>AND(LEN(#REF!)=0,AS$7&gt;=#REF!,AS$7&lt;=#REF!+#REF!-1)</formula>
    </cfRule>
  </conditionalFormatting>
  <conditionalFormatting sqref="AW53:AZ53">
    <cfRule type="expression" dxfId="432" priority="1426">
      <formula>AND(TODAY()&gt;=AS$7,TODAY()&lt;AT$7)</formula>
    </cfRule>
  </conditionalFormatting>
  <conditionalFormatting sqref="AW53:AZ53">
    <cfRule type="expression" dxfId="431" priority="1427" stopIfTrue="1">
      <formula>AND(#REF!="Low Risk",AS$7&gt;=#REF!,AS$7&lt;=#REF!+#REF!-1)</formula>
    </cfRule>
    <cfRule type="expression" dxfId="430" priority="1428" stopIfTrue="1">
      <formula>AND(#REF!="High Risk",AS$7&gt;=#REF!,AS$7&lt;=#REF!+#REF!-1)</formula>
    </cfRule>
    <cfRule type="expression" dxfId="429" priority="1429" stopIfTrue="1">
      <formula>AND(#REF!="On Track",AS$7&gt;=#REF!,AS$7&lt;=#REF!+#REF!-1)</formula>
    </cfRule>
    <cfRule type="expression" dxfId="428" priority="1430" stopIfTrue="1">
      <formula>AND(#REF!="Med Risk",AS$7&gt;=#REF!,AS$7&lt;=#REF!+#REF!-1)</formula>
    </cfRule>
    <cfRule type="expression" dxfId="427" priority="1431" stopIfTrue="1">
      <formula>AND(LEN(#REF!)=0,AS$7&gt;=#REF!,AS$7&lt;=#REF!+#REF!-1)</formula>
    </cfRule>
  </conditionalFormatting>
  <conditionalFormatting sqref="AW53:AZ53">
    <cfRule type="expression" dxfId="426" priority="1420">
      <formula>AND(TODAY()&gt;=AS$7,TODAY()&lt;AT$7)</formula>
    </cfRule>
  </conditionalFormatting>
  <conditionalFormatting sqref="AW53:AZ53">
    <cfRule type="expression" dxfId="425" priority="1421" stopIfTrue="1">
      <formula>AND(#REF!="Low Risk",AS$7&gt;=#REF!,AS$7&lt;=#REF!+#REF!-1)</formula>
    </cfRule>
    <cfRule type="expression" dxfId="424" priority="1422" stopIfTrue="1">
      <formula>AND(#REF!="High Risk",AS$7&gt;=#REF!,AS$7&lt;=#REF!+#REF!-1)</formula>
    </cfRule>
    <cfRule type="expression" dxfId="423" priority="1423" stopIfTrue="1">
      <formula>AND(#REF!="On Track",AS$7&gt;=#REF!,AS$7&lt;=#REF!+#REF!-1)</formula>
    </cfRule>
    <cfRule type="expression" dxfId="422" priority="1424" stopIfTrue="1">
      <formula>AND(#REF!="Med Risk",AS$7&gt;=#REF!,AS$7&lt;=#REF!+#REF!-1)</formula>
    </cfRule>
    <cfRule type="expression" dxfId="421" priority="1425" stopIfTrue="1">
      <formula>AND(LEN(#REF!)=0,AS$7&gt;=#REF!,AS$7&lt;=#REF!+#REF!-1)</formula>
    </cfRule>
  </conditionalFormatting>
  <conditionalFormatting sqref="BA53:BD53">
    <cfRule type="expression" dxfId="420" priority="1414">
      <formula>AND(TODAY()&gt;=AW$7,TODAY()&lt;AX$7)</formula>
    </cfRule>
  </conditionalFormatting>
  <conditionalFormatting sqref="BA53:BD53">
    <cfRule type="expression" dxfId="419" priority="1415" stopIfTrue="1">
      <formula>AND(#REF!="Low Risk",AW$7&gt;=#REF!,AW$7&lt;=#REF!+#REF!-1)</formula>
    </cfRule>
    <cfRule type="expression" dxfId="418" priority="1416" stopIfTrue="1">
      <formula>AND(#REF!="High Risk",AW$7&gt;=#REF!,AW$7&lt;=#REF!+#REF!-1)</formula>
    </cfRule>
    <cfRule type="expression" dxfId="417" priority="1417" stopIfTrue="1">
      <formula>AND(#REF!="On Track",AW$7&gt;=#REF!,AW$7&lt;=#REF!+#REF!-1)</formula>
    </cfRule>
    <cfRule type="expression" dxfId="416" priority="1418" stopIfTrue="1">
      <formula>AND(#REF!="Med Risk",AW$7&gt;=#REF!,AW$7&lt;=#REF!+#REF!-1)</formula>
    </cfRule>
    <cfRule type="expression" dxfId="415" priority="1419" stopIfTrue="1">
      <formula>AND(LEN(#REF!)=0,AW$7&gt;=#REF!,AW$7&lt;=#REF!+#REF!-1)</formula>
    </cfRule>
  </conditionalFormatting>
  <conditionalFormatting sqref="BA53:BD53">
    <cfRule type="expression" dxfId="414" priority="1408">
      <formula>AND(TODAY()&gt;=AW$7,TODAY()&lt;AX$7)</formula>
    </cfRule>
  </conditionalFormatting>
  <conditionalFormatting sqref="BA53:BD53">
    <cfRule type="expression" dxfId="413" priority="1409" stopIfTrue="1">
      <formula>AND(#REF!="Low Risk",AW$7&gt;=#REF!,AW$7&lt;=#REF!+#REF!-1)</formula>
    </cfRule>
    <cfRule type="expression" dxfId="412" priority="1410" stopIfTrue="1">
      <formula>AND(#REF!="High Risk",AW$7&gt;=#REF!,AW$7&lt;=#REF!+#REF!-1)</formula>
    </cfRule>
    <cfRule type="expression" dxfId="411" priority="1411" stopIfTrue="1">
      <formula>AND(#REF!="On Track",AW$7&gt;=#REF!,AW$7&lt;=#REF!+#REF!-1)</formula>
    </cfRule>
    <cfRule type="expression" dxfId="410" priority="1412" stopIfTrue="1">
      <formula>AND(#REF!="Med Risk",AW$7&gt;=#REF!,AW$7&lt;=#REF!+#REF!-1)</formula>
    </cfRule>
    <cfRule type="expression" dxfId="409" priority="1413" stopIfTrue="1">
      <formula>AND(LEN(#REF!)=0,AW$7&gt;=#REF!,AW$7&lt;=#REF!+#REF!-1)</formula>
    </cfRule>
  </conditionalFormatting>
  <conditionalFormatting sqref="BA53:BD53">
    <cfRule type="expression" dxfId="408" priority="1402">
      <formula>AND(TODAY()&gt;=AW$7,TODAY()&lt;AX$7)</formula>
    </cfRule>
  </conditionalFormatting>
  <conditionalFormatting sqref="BA53:BD53">
    <cfRule type="expression" dxfId="407" priority="1403" stopIfTrue="1">
      <formula>AND(#REF!="Low Risk",AW$7&gt;=#REF!,AW$7&lt;=#REF!+#REF!-1)</formula>
    </cfRule>
    <cfRule type="expression" dxfId="406" priority="1404" stopIfTrue="1">
      <formula>AND(#REF!="High Risk",AW$7&gt;=#REF!,AW$7&lt;=#REF!+#REF!-1)</formula>
    </cfRule>
    <cfRule type="expression" dxfId="405" priority="1405" stopIfTrue="1">
      <formula>AND(#REF!="On Track",AW$7&gt;=#REF!,AW$7&lt;=#REF!+#REF!-1)</formula>
    </cfRule>
    <cfRule type="expression" dxfId="404" priority="1406" stopIfTrue="1">
      <formula>AND(#REF!="Med Risk",AW$7&gt;=#REF!,AW$7&lt;=#REF!+#REF!-1)</formula>
    </cfRule>
    <cfRule type="expression" dxfId="403" priority="1407" stopIfTrue="1">
      <formula>AND(LEN(#REF!)=0,AW$7&gt;=#REF!,AW$7&lt;=#REF!+#REF!-1)</formula>
    </cfRule>
  </conditionalFormatting>
  <conditionalFormatting sqref="E14:E15 D15:E15">
    <cfRule type="expression" dxfId="402" priority="1331">
      <formula>AND(TODAY()&gt;=D$7,TODAY()&lt;E$7)</formula>
    </cfRule>
  </conditionalFormatting>
  <conditionalFormatting sqref="G17">
    <cfRule type="expression" dxfId="401" priority="1296">
      <formula>AND(TODAY()&gt;=G$7,TODAY()&lt;H$7)</formula>
    </cfRule>
  </conditionalFormatting>
  <conditionalFormatting sqref="E16">
    <cfRule type="expression" dxfId="400" priority="1310">
      <formula>AND(TODAY()&gt;=E$7,TODAY()&lt;F$7)</formula>
    </cfRule>
  </conditionalFormatting>
  <conditionalFormatting sqref="F16">
    <cfRule type="expression" dxfId="399" priority="1303">
      <formula>AND(TODAY()&gt;=F$7,TODAY()&lt;G$7)</formula>
    </cfRule>
  </conditionalFormatting>
  <conditionalFormatting sqref="F18">
    <cfRule type="expression" dxfId="398" priority="1289">
      <formula>AND(TODAY()&gt;=F$7,TODAY()&lt;G$7)</formula>
    </cfRule>
  </conditionalFormatting>
  <conditionalFormatting sqref="G18">
    <cfRule type="expression" dxfId="397" priority="1282">
      <formula>AND(TODAY()&gt;=G$7,TODAY()&lt;H$7)</formula>
    </cfRule>
  </conditionalFormatting>
  <conditionalFormatting sqref="F23:F24">
    <cfRule type="expression" dxfId="396" priority="1261">
      <formula>AND(TODAY()&gt;=F$7,TODAY()&lt;G$7)</formula>
    </cfRule>
  </conditionalFormatting>
  <conditionalFormatting sqref="E23:E24">
    <cfRule type="expression" dxfId="395" priority="1254">
      <formula>AND(TODAY()&gt;=E$7,TODAY()&lt;F$7)</formula>
    </cfRule>
  </conditionalFormatting>
  <conditionalFormatting sqref="G26">
    <cfRule type="expression" dxfId="394" priority="1233">
      <formula>AND(TODAY()&gt;=G$7,TODAY()&lt;H$7)</formula>
    </cfRule>
  </conditionalFormatting>
  <conditionalFormatting sqref="D28">
    <cfRule type="expression" dxfId="393" priority="1226">
      <formula>AND(TODAY()&gt;=D$7,TODAY()&lt;E$7)</formula>
    </cfRule>
  </conditionalFormatting>
  <conditionalFormatting sqref="E30">
    <cfRule type="expression" dxfId="392" priority="1212">
      <formula>AND(TODAY()&gt;=E$7,TODAY()&lt;F$7)</formula>
    </cfRule>
  </conditionalFormatting>
  <conditionalFormatting sqref="F32">
    <cfRule type="expression" dxfId="391" priority="1191">
      <formula>AND(TODAY()&gt;=F$7,TODAY()&lt;G$7)</formula>
    </cfRule>
  </conditionalFormatting>
  <conditionalFormatting sqref="G32">
    <cfRule type="expression" dxfId="390" priority="1184">
      <formula>AND(TODAY()&gt;=G$7,TODAY()&lt;H$7)</formula>
    </cfRule>
  </conditionalFormatting>
  <conditionalFormatting sqref="G41">
    <cfRule type="expression" dxfId="389" priority="1121">
      <formula>AND(TODAY()&gt;=E$7,TODAY()&lt;F$7)</formula>
    </cfRule>
  </conditionalFormatting>
  <conditionalFormatting sqref="F41">
    <cfRule type="expression" dxfId="388" priority="1114">
      <formula>AND(TODAY()&gt;=F$7,TODAY()&lt;G$7)</formula>
    </cfRule>
  </conditionalFormatting>
  <conditionalFormatting sqref="D54">
    <cfRule type="expression" dxfId="387" priority="904">
      <formula>AND(TODAY()&gt;=D$7,TODAY()&lt;E$7)</formula>
    </cfRule>
  </conditionalFormatting>
  <conditionalFormatting sqref="E54">
    <cfRule type="expression" dxfId="386" priority="897">
      <formula>AND(TODAY()&gt;=E$7,TODAY()&lt;F$7)</formula>
    </cfRule>
  </conditionalFormatting>
  <conditionalFormatting sqref="F19:G21">
    <cfRule type="expression" dxfId="385" priority="876">
      <formula>AND(TODAY()&gt;=F$7,TODAY()&lt;G$7)</formula>
    </cfRule>
  </conditionalFormatting>
  <conditionalFormatting sqref="F22">
    <cfRule type="expression" dxfId="384" priority="862">
      <formula>AND(TODAY()&gt;=F$7,TODAY()&lt;G$7)</formula>
    </cfRule>
  </conditionalFormatting>
  <conditionalFormatting sqref="E23:E24">
    <cfRule type="expression" dxfId="383" priority="860">
      <formula>AND(TODAY()&gt;=E$7,TODAY()&lt;F$7)</formula>
    </cfRule>
  </conditionalFormatting>
  <conditionalFormatting sqref="F23:F24">
    <cfRule type="expression" dxfId="382" priority="858">
      <formula>AND(TODAY()&gt;=F$7,TODAY()&lt;G$7)</formula>
    </cfRule>
  </conditionalFormatting>
  <conditionalFormatting sqref="F25">
    <cfRule type="expression" dxfId="381" priority="844">
      <formula>AND(TODAY()&gt;=F$7,TODAY()&lt;G$7)</formula>
    </cfRule>
  </conditionalFormatting>
  <conditionalFormatting sqref="G26">
    <cfRule type="expression" dxfId="380" priority="842">
      <formula>AND(TODAY()&gt;=G$7,TODAY()&lt;H$7)</formula>
    </cfRule>
  </conditionalFormatting>
  <conditionalFormatting sqref="G26">
    <cfRule type="expression" dxfId="379" priority="840">
      <formula>AND(TODAY()&gt;=G$7,TODAY()&lt;H$7)</formula>
    </cfRule>
  </conditionalFormatting>
  <conditionalFormatting sqref="D28">
    <cfRule type="expression" dxfId="378" priority="838">
      <formula>AND(TODAY()&gt;=D$7,TODAY()&lt;E$7)</formula>
    </cfRule>
  </conditionalFormatting>
  <conditionalFormatting sqref="D28">
    <cfRule type="expression" dxfId="377" priority="836">
      <formula>AND(TODAY()&gt;=D$7,TODAY()&lt;E$7)</formula>
    </cfRule>
  </conditionalFormatting>
  <conditionalFormatting sqref="D28">
    <cfRule type="expression" dxfId="376" priority="834">
      <formula>AND(TODAY()&gt;=D$7,TODAY()&lt;E$7)</formula>
    </cfRule>
  </conditionalFormatting>
  <conditionalFormatting sqref="D29">
    <cfRule type="expression" dxfId="375" priority="827">
      <formula>AND(TODAY()&gt;=D$7,TODAY()&lt;E$7)</formula>
    </cfRule>
  </conditionalFormatting>
  <conditionalFormatting sqref="E31:F31">
    <cfRule type="expression" dxfId="374" priority="820">
      <formula>AND(TODAY()&gt;=E$7,TODAY()&lt;F$7)</formula>
    </cfRule>
  </conditionalFormatting>
  <conditionalFormatting sqref="G33">
    <cfRule type="expression" dxfId="373" priority="813">
      <formula>AND(TODAY()&gt;=G$7,TODAY()&lt;H$7)</formula>
    </cfRule>
  </conditionalFormatting>
  <conditionalFormatting sqref="E30">
    <cfRule type="expression" dxfId="372" priority="811">
      <formula>AND(TODAY()&gt;=E$7,TODAY()&lt;F$7)</formula>
    </cfRule>
  </conditionalFormatting>
  <conditionalFormatting sqref="E30">
    <cfRule type="expression" dxfId="371" priority="809">
      <formula>AND(TODAY()&gt;=E$7,TODAY()&lt;F$7)</formula>
    </cfRule>
  </conditionalFormatting>
  <conditionalFormatting sqref="E30">
    <cfRule type="expression" dxfId="370" priority="807">
      <formula>AND(TODAY()&gt;=E$7,TODAY()&lt;F$7)</formula>
    </cfRule>
  </conditionalFormatting>
  <conditionalFormatting sqref="E30">
    <cfRule type="expression" dxfId="369" priority="805">
      <formula>AND(TODAY()&gt;=E$7,TODAY()&lt;F$7)</formula>
    </cfRule>
  </conditionalFormatting>
  <conditionalFormatting sqref="F32">
    <cfRule type="expression" dxfId="368" priority="803">
      <formula>AND(TODAY()&gt;=F$7,TODAY()&lt;G$7)</formula>
    </cfRule>
  </conditionalFormatting>
  <conditionalFormatting sqref="F32">
    <cfRule type="expression" dxfId="367" priority="801">
      <formula>AND(TODAY()&gt;=F$7,TODAY()&lt;G$7)</formula>
    </cfRule>
  </conditionalFormatting>
  <conditionalFormatting sqref="F32">
    <cfRule type="expression" dxfId="366" priority="799">
      <formula>AND(TODAY()&gt;=F$7,TODAY()&lt;G$7)</formula>
    </cfRule>
  </conditionalFormatting>
  <conditionalFormatting sqref="F32">
    <cfRule type="expression" dxfId="365" priority="797">
      <formula>AND(TODAY()&gt;=F$7,TODAY()&lt;G$7)</formula>
    </cfRule>
  </conditionalFormatting>
  <conditionalFormatting sqref="G32">
    <cfRule type="expression" dxfId="364" priority="795">
      <formula>AND(TODAY()&gt;=G$7,TODAY()&lt;H$7)</formula>
    </cfRule>
  </conditionalFormatting>
  <conditionalFormatting sqref="G32">
    <cfRule type="expression" dxfId="363" priority="793">
      <formula>AND(TODAY()&gt;=G$7,TODAY()&lt;H$7)</formula>
    </cfRule>
  </conditionalFormatting>
  <conditionalFormatting sqref="G32">
    <cfRule type="expression" dxfId="362" priority="791">
      <formula>AND(TODAY()&gt;=G$7,TODAY()&lt;H$7)</formula>
    </cfRule>
  </conditionalFormatting>
  <conditionalFormatting sqref="G32">
    <cfRule type="expression" dxfId="361" priority="789">
      <formula>AND(TODAY()&gt;=G$7,TODAY()&lt;H$7)</formula>
    </cfRule>
  </conditionalFormatting>
  <conditionalFormatting sqref="D35:F35">
    <cfRule type="expression" dxfId="360" priority="782">
      <formula>AND(TODAY()&gt;=D$7,TODAY()&lt;E$7)</formula>
    </cfRule>
  </conditionalFormatting>
  <conditionalFormatting sqref="F39:F40">
    <cfRule type="expression" dxfId="359" priority="748">
      <formula>AND(TODAY()&gt;=F$7,TODAY()&lt;G$7)</formula>
    </cfRule>
  </conditionalFormatting>
  <conditionalFormatting sqref="E51:G52">
    <cfRule type="expression" dxfId="358" priority="628">
      <formula>AND(TODAY()&gt;=E$7,TODAY()&lt;F$7)</formula>
    </cfRule>
  </conditionalFormatting>
  <conditionalFormatting sqref="E49:G49">
    <cfRule type="expression" dxfId="357" priority="642">
      <formula>AND(TODAY()&gt;=E$7,TODAY()&lt;F$7)</formula>
    </cfRule>
  </conditionalFormatting>
  <conditionalFormatting sqref="D47:G47">
    <cfRule type="expression" dxfId="356" priority="635">
      <formula>AND(TODAY()&gt;=D$7,TODAY()&lt;E$7)</formula>
    </cfRule>
  </conditionalFormatting>
  <conditionalFormatting sqref="E43:G43">
    <cfRule type="expression" dxfId="355" priority="670">
      <formula>AND(TODAY()&gt;=E$7,TODAY()&lt;F$7)</formula>
    </cfRule>
  </conditionalFormatting>
  <conditionalFormatting sqref="E45:F45">
    <cfRule type="expression" dxfId="354" priority="656">
      <formula>AND(TODAY()&gt;=E$7,TODAY()&lt;F$7)</formula>
    </cfRule>
  </conditionalFormatting>
  <conditionalFormatting sqref="E46">
    <cfRule type="expression" dxfId="353" priority="649">
      <formula>AND(TODAY()&gt;=E$7,TODAY()&lt;F$7)</formula>
    </cfRule>
  </conditionalFormatting>
  <conditionalFormatting sqref="E39:E40">
    <cfRule type="expression" dxfId="352" priority="621">
      <formula>AND(TODAY()&gt;=E$7,TODAY()&lt;F$7)</formula>
    </cfRule>
  </conditionalFormatting>
  <conditionalFormatting sqref="E37">
    <cfRule type="expression" dxfId="351" priority="614">
      <formula>AND(TODAY()&gt;=E$7,TODAY()&lt;F$7)</formula>
    </cfRule>
  </conditionalFormatting>
  <conditionalFormatting sqref="F37">
    <cfRule type="expression" dxfId="350" priority="612">
      <formula>AND(TODAY()&gt;=F$7,TODAY()&lt;G$7)</formula>
    </cfRule>
  </conditionalFormatting>
  <conditionalFormatting sqref="E37:F37">
    <cfRule type="expression" dxfId="349" priority="610">
      <formula>AND(TODAY()&gt;=E$7,TODAY()&lt;F$7)</formula>
    </cfRule>
  </conditionalFormatting>
  <conditionalFormatting sqref="E37:F37">
    <cfRule type="expression" dxfId="348" priority="608">
      <formula>AND(TODAY()&gt;=E$7,TODAY()&lt;F$7)</formula>
    </cfRule>
  </conditionalFormatting>
  <conditionalFormatting sqref="E37:F37">
    <cfRule type="expression" dxfId="347" priority="606">
      <formula>AND(TODAY()&gt;=E$7,TODAY()&lt;F$7)</formula>
    </cfRule>
  </conditionalFormatting>
  <conditionalFormatting sqref="E37:F37">
    <cfRule type="expression" dxfId="346" priority="604">
      <formula>AND(TODAY()&gt;=E$7,TODAY()&lt;F$7)</formula>
    </cfRule>
  </conditionalFormatting>
  <conditionalFormatting sqref="E37:F37">
    <cfRule type="expression" dxfId="345" priority="602">
      <formula>AND(TODAY()&gt;=E$7,TODAY()&lt;F$7)</formula>
    </cfRule>
  </conditionalFormatting>
  <conditionalFormatting sqref="E37:F37">
    <cfRule type="expression" dxfId="344" priority="600">
      <formula>AND(TODAY()&gt;=E$7,TODAY()&lt;F$7)</formula>
    </cfRule>
  </conditionalFormatting>
  <conditionalFormatting sqref="AI42:AJ42">
    <cfRule type="expression" dxfId="343" priority="594" stopIfTrue="1">
      <formula>AND(#REF!="Low Risk",AE$7&gt;=#REF!,AE$7&lt;=#REF!+#REF!-1)</formula>
    </cfRule>
    <cfRule type="expression" dxfId="342" priority="595" stopIfTrue="1">
      <formula>AND(#REF!="High Risk",AE$7&gt;=#REF!,AE$7&lt;=#REF!+#REF!-1)</formula>
    </cfRule>
    <cfRule type="expression" dxfId="341" priority="596" stopIfTrue="1">
      <formula>AND(#REF!="On Track",AE$7&gt;=#REF!,AE$7&lt;=#REF!+#REF!-1)</formula>
    </cfRule>
    <cfRule type="expression" dxfId="340" priority="597" stopIfTrue="1">
      <formula>AND(#REF!="Med Risk",AE$7&gt;=#REF!,AE$7&lt;=#REF!+#REF!-1)</formula>
    </cfRule>
    <cfRule type="expression" dxfId="339" priority="598" stopIfTrue="1">
      <formula>AND(LEN(#REF!)=0,AE$7&gt;=#REF!,AE$7&lt;=#REF!+#REF!-1)</formula>
    </cfRule>
  </conditionalFormatting>
  <conditionalFormatting sqref="AH46:AJ46">
    <cfRule type="expression" dxfId="338" priority="576" stopIfTrue="1">
      <formula>AND(#REF!="Low Risk",AD$7&gt;=#REF!,AD$7&lt;=#REF!+#REF!-1)</formula>
    </cfRule>
    <cfRule type="expression" dxfId="337" priority="577" stopIfTrue="1">
      <formula>AND(#REF!="High Risk",AD$7&gt;=#REF!,AD$7&lt;=#REF!+#REF!-1)</formula>
    </cfRule>
    <cfRule type="expression" dxfId="336" priority="578" stopIfTrue="1">
      <formula>AND(#REF!="On Track",AD$7&gt;=#REF!,AD$7&lt;=#REF!+#REF!-1)</formula>
    </cfRule>
    <cfRule type="expression" dxfId="335" priority="579" stopIfTrue="1">
      <formula>AND(#REF!="Med Risk",AD$7&gt;=#REF!,AD$7&lt;=#REF!+#REF!-1)</formula>
    </cfRule>
    <cfRule type="expression" dxfId="334" priority="580" stopIfTrue="1">
      <formula>AND(LEN(#REF!)=0,AD$7&gt;=#REF!,AD$7&lt;=#REF!+#REF!-1)</formula>
    </cfRule>
  </conditionalFormatting>
  <conditionalFormatting sqref="AH46:AJ46">
    <cfRule type="expression" dxfId="333" priority="575">
      <formula>AND(TODAY()&gt;=Z$7,TODAY()&lt;AA$7)</formula>
    </cfRule>
  </conditionalFormatting>
  <conditionalFormatting sqref="AH46:AJ46">
    <cfRule type="expression" dxfId="332" priority="581" stopIfTrue="1">
      <formula>AND(#REF!="Low Risk",Z$7&gt;=#REF!,Z$7&lt;=#REF!+#REF!-1)</formula>
    </cfRule>
    <cfRule type="expression" dxfId="331" priority="582" stopIfTrue="1">
      <formula>AND(#REF!="High Risk",Z$7&gt;=#REF!,Z$7&lt;=#REF!+#REF!-1)</formula>
    </cfRule>
    <cfRule type="expression" dxfId="330" priority="583" stopIfTrue="1">
      <formula>AND(#REF!="On Track",Z$7&gt;=#REF!,Z$7&lt;=#REF!+#REF!-1)</formula>
    </cfRule>
    <cfRule type="expression" dxfId="329" priority="584" stopIfTrue="1">
      <formula>AND(#REF!="Med Risk",Z$7&gt;=#REF!,Z$7&lt;=#REF!+#REF!-1)</formula>
    </cfRule>
    <cfRule type="expression" dxfId="328" priority="585" stopIfTrue="1">
      <formula>AND(LEN(#REF!)=0,Z$7&gt;=#REF!,Z$7&lt;=#REF!+#REF!-1)</formula>
    </cfRule>
  </conditionalFormatting>
  <conditionalFormatting sqref="AE45:AF45">
    <cfRule type="expression" dxfId="327" priority="569">
      <formula>AND(TODAY()&gt;=W$7,TODAY()&lt;X$7)</formula>
    </cfRule>
  </conditionalFormatting>
  <conditionalFormatting sqref="AE45:AF45">
    <cfRule type="expression" dxfId="326" priority="570" stopIfTrue="1">
      <formula>AND(#REF!="Low Risk",W$7&gt;=#REF!,W$7&lt;=#REF!+#REF!-1)</formula>
    </cfRule>
    <cfRule type="expression" dxfId="325" priority="571" stopIfTrue="1">
      <formula>AND(#REF!="High Risk",W$7&gt;=#REF!,W$7&lt;=#REF!+#REF!-1)</formula>
    </cfRule>
    <cfRule type="expression" dxfId="324" priority="572" stopIfTrue="1">
      <formula>AND(#REF!="On Track",W$7&gt;=#REF!,W$7&lt;=#REF!+#REF!-1)</formula>
    </cfRule>
    <cfRule type="expression" dxfId="323" priority="573" stopIfTrue="1">
      <formula>AND(#REF!="Med Risk",W$7&gt;=#REF!,W$7&lt;=#REF!+#REF!-1)</formula>
    </cfRule>
    <cfRule type="expression" dxfId="322" priority="574" stopIfTrue="1">
      <formula>AND(LEN(#REF!)=0,W$7&gt;=#REF!,W$7&lt;=#REF!+#REF!-1)</formula>
    </cfRule>
  </conditionalFormatting>
  <conditionalFormatting sqref="AI47:AJ48 AI44:AJ44">
    <cfRule type="expression" dxfId="321" priority="558" stopIfTrue="1">
      <formula>AND(#REF!="Low Risk",AE$7&gt;=#REF!,AE$7&lt;=#REF!+#REF!-1)</formula>
    </cfRule>
    <cfRule type="expression" dxfId="320" priority="559" stopIfTrue="1">
      <formula>AND(#REF!="High Risk",AE$7&gt;=#REF!,AE$7&lt;=#REF!+#REF!-1)</formula>
    </cfRule>
    <cfRule type="expression" dxfId="319" priority="560" stopIfTrue="1">
      <formula>AND(#REF!="On Track",AE$7&gt;=#REF!,AE$7&lt;=#REF!+#REF!-1)</formula>
    </cfRule>
    <cfRule type="expression" dxfId="318" priority="561" stopIfTrue="1">
      <formula>AND(#REF!="Med Risk",AE$7&gt;=#REF!,AE$7&lt;=#REF!+#REF!-1)</formula>
    </cfRule>
    <cfRule type="expression" dxfId="317" priority="562" stopIfTrue="1">
      <formula>AND(LEN(#REF!)=0,AE$7&gt;=#REF!,AE$7&lt;=#REF!+#REF!-1)</formula>
    </cfRule>
  </conditionalFormatting>
  <conditionalFormatting sqref="AI47:AJ48">
    <cfRule type="expression" dxfId="316" priority="557">
      <formula>AND(TODAY()&gt;=AA$7,TODAY()&lt;AB$7)</formula>
    </cfRule>
  </conditionalFormatting>
  <conditionalFormatting sqref="AI47:AJ48">
    <cfRule type="expression" dxfId="315" priority="563" stopIfTrue="1">
      <formula>AND(#REF!="Low Risk",AA$7&gt;=#REF!,AA$7&lt;=#REF!+#REF!-1)</formula>
    </cfRule>
    <cfRule type="expression" dxfId="314" priority="564" stopIfTrue="1">
      <formula>AND(#REF!="High Risk",AA$7&gt;=#REF!,AA$7&lt;=#REF!+#REF!-1)</formula>
    </cfRule>
    <cfRule type="expression" dxfId="313" priority="565" stopIfTrue="1">
      <formula>AND(#REF!="On Track",AA$7&gt;=#REF!,AA$7&lt;=#REF!+#REF!-1)</formula>
    </cfRule>
    <cfRule type="expression" dxfId="312" priority="566" stopIfTrue="1">
      <formula>AND(#REF!="Med Risk",AA$7&gt;=#REF!,AA$7&lt;=#REF!+#REF!-1)</formula>
    </cfRule>
    <cfRule type="expression" dxfId="311" priority="567" stopIfTrue="1">
      <formula>AND(LEN(#REF!)=0,AA$7&gt;=#REF!,AA$7&lt;=#REF!+#REF!-1)</formula>
    </cfRule>
  </conditionalFormatting>
  <conditionalFormatting sqref="AW51:AZ52">
    <cfRule type="expression" dxfId="310" priority="551">
      <formula>AND(TODAY()&gt;=AS$7,TODAY()&lt;AT$7)</formula>
    </cfRule>
  </conditionalFormatting>
  <conditionalFormatting sqref="AW51:AZ52">
    <cfRule type="expression" dxfId="309" priority="552" stopIfTrue="1">
      <formula>AND(#REF!="Low Risk",AS$7&gt;=#REF!,AS$7&lt;=#REF!+#REF!-1)</formula>
    </cfRule>
    <cfRule type="expression" dxfId="308" priority="553" stopIfTrue="1">
      <formula>AND(#REF!="High Risk",AS$7&gt;=#REF!,AS$7&lt;=#REF!+#REF!-1)</formula>
    </cfRule>
    <cfRule type="expression" dxfId="307" priority="554" stopIfTrue="1">
      <formula>AND(#REF!="On Track",AS$7&gt;=#REF!,AS$7&lt;=#REF!+#REF!-1)</formula>
    </cfRule>
    <cfRule type="expression" dxfId="306" priority="555" stopIfTrue="1">
      <formula>AND(#REF!="Med Risk",AS$7&gt;=#REF!,AS$7&lt;=#REF!+#REF!-1)</formula>
    </cfRule>
    <cfRule type="expression" dxfId="305" priority="556" stopIfTrue="1">
      <formula>AND(LEN(#REF!)=0,AS$7&gt;=#REF!,AS$7&lt;=#REF!+#REF!-1)</formula>
    </cfRule>
  </conditionalFormatting>
  <conditionalFormatting sqref="AW51:AZ52">
    <cfRule type="expression" dxfId="304" priority="545">
      <formula>AND(TODAY()&gt;=AS$7,TODAY()&lt;AT$7)</formula>
    </cfRule>
  </conditionalFormatting>
  <conditionalFormatting sqref="AW51:AZ52">
    <cfRule type="expression" dxfId="303" priority="546" stopIfTrue="1">
      <formula>AND(#REF!="Low Risk",AS$7&gt;=#REF!,AS$7&lt;=#REF!+#REF!-1)</formula>
    </cfRule>
    <cfRule type="expression" dxfId="302" priority="547" stopIfTrue="1">
      <formula>AND(#REF!="High Risk",AS$7&gt;=#REF!,AS$7&lt;=#REF!+#REF!-1)</formula>
    </cfRule>
    <cfRule type="expression" dxfId="301" priority="548" stopIfTrue="1">
      <formula>AND(#REF!="On Track",AS$7&gt;=#REF!,AS$7&lt;=#REF!+#REF!-1)</formula>
    </cfRule>
    <cfRule type="expression" dxfId="300" priority="549" stopIfTrue="1">
      <formula>AND(#REF!="Med Risk",AS$7&gt;=#REF!,AS$7&lt;=#REF!+#REF!-1)</formula>
    </cfRule>
    <cfRule type="expression" dxfId="299" priority="550" stopIfTrue="1">
      <formula>AND(LEN(#REF!)=0,AS$7&gt;=#REF!,AS$7&lt;=#REF!+#REF!-1)</formula>
    </cfRule>
  </conditionalFormatting>
  <conditionalFormatting sqref="AW51:AZ52">
    <cfRule type="expression" dxfId="298" priority="539">
      <formula>AND(TODAY()&gt;=AS$7,TODAY()&lt;AT$7)</formula>
    </cfRule>
  </conditionalFormatting>
  <conditionalFormatting sqref="AW51:AZ52">
    <cfRule type="expression" dxfId="297" priority="540" stopIfTrue="1">
      <formula>AND(#REF!="Low Risk",AS$7&gt;=#REF!,AS$7&lt;=#REF!+#REF!-1)</formula>
    </cfRule>
    <cfRule type="expression" dxfId="296" priority="541" stopIfTrue="1">
      <formula>AND(#REF!="High Risk",AS$7&gt;=#REF!,AS$7&lt;=#REF!+#REF!-1)</formula>
    </cfRule>
    <cfRule type="expression" dxfId="295" priority="542" stopIfTrue="1">
      <formula>AND(#REF!="On Track",AS$7&gt;=#REF!,AS$7&lt;=#REF!+#REF!-1)</formula>
    </cfRule>
    <cfRule type="expression" dxfId="294" priority="543" stopIfTrue="1">
      <formula>AND(#REF!="Med Risk",AS$7&gt;=#REF!,AS$7&lt;=#REF!+#REF!-1)</formula>
    </cfRule>
    <cfRule type="expression" dxfId="293" priority="544" stopIfTrue="1">
      <formula>AND(LEN(#REF!)=0,AS$7&gt;=#REF!,AS$7&lt;=#REF!+#REF!-1)</formula>
    </cfRule>
  </conditionalFormatting>
  <conditionalFormatting sqref="BI51:BP52">
    <cfRule type="expression" dxfId="292" priority="533">
      <formula>AND(TODAY()&gt;=BE$7,TODAY()&lt;BF$7)</formula>
    </cfRule>
  </conditionalFormatting>
  <conditionalFormatting sqref="BI51:BP52">
    <cfRule type="expression" dxfId="291" priority="534" stopIfTrue="1">
      <formula>AND(#REF!="Low Risk",BE$7&gt;=#REF!,BE$7&lt;=#REF!+#REF!-1)</formula>
    </cfRule>
    <cfRule type="expression" dxfId="290" priority="535" stopIfTrue="1">
      <formula>AND(#REF!="High Risk",BE$7&gt;=#REF!,BE$7&lt;=#REF!+#REF!-1)</formula>
    </cfRule>
    <cfRule type="expression" dxfId="289" priority="536" stopIfTrue="1">
      <formula>AND(#REF!="On Track",BE$7&gt;=#REF!,BE$7&lt;=#REF!+#REF!-1)</formula>
    </cfRule>
    <cfRule type="expression" dxfId="288" priority="537" stopIfTrue="1">
      <formula>AND(#REF!="Med Risk",BE$7&gt;=#REF!,BE$7&lt;=#REF!+#REF!-1)</formula>
    </cfRule>
    <cfRule type="expression" dxfId="287" priority="538" stopIfTrue="1">
      <formula>AND(LEN(#REF!)=0,BE$7&gt;=#REF!,BE$7&lt;=#REF!+#REF!-1)</formula>
    </cfRule>
  </conditionalFormatting>
  <conditionalFormatting sqref="BI51:BP52">
    <cfRule type="expression" dxfId="286" priority="527">
      <formula>AND(TODAY()&gt;=BE$7,TODAY()&lt;BF$7)</formula>
    </cfRule>
  </conditionalFormatting>
  <conditionalFormatting sqref="BI51:BP52">
    <cfRule type="expression" dxfId="285" priority="528" stopIfTrue="1">
      <formula>AND(#REF!="Low Risk",BE$7&gt;=#REF!,BE$7&lt;=#REF!+#REF!-1)</formula>
    </cfRule>
    <cfRule type="expression" dxfId="284" priority="529" stopIfTrue="1">
      <formula>AND(#REF!="High Risk",BE$7&gt;=#REF!,BE$7&lt;=#REF!+#REF!-1)</formula>
    </cfRule>
    <cfRule type="expression" dxfId="283" priority="530" stopIfTrue="1">
      <formula>AND(#REF!="On Track",BE$7&gt;=#REF!,BE$7&lt;=#REF!+#REF!-1)</formula>
    </cfRule>
    <cfRule type="expression" dxfId="282" priority="531" stopIfTrue="1">
      <formula>AND(#REF!="Med Risk",BE$7&gt;=#REF!,BE$7&lt;=#REF!+#REF!-1)</formula>
    </cfRule>
    <cfRule type="expression" dxfId="281" priority="532" stopIfTrue="1">
      <formula>AND(LEN(#REF!)=0,BE$7&gt;=#REF!,BE$7&lt;=#REF!+#REF!-1)</formula>
    </cfRule>
  </conditionalFormatting>
  <conditionalFormatting sqref="BI51:BP52">
    <cfRule type="expression" dxfId="280" priority="521">
      <formula>AND(TODAY()&gt;=BE$7,TODAY()&lt;BF$7)</formula>
    </cfRule>
  </conditionalFormatting>
  <conditionalFormatting sqref="BI51:BP52">
    <cfRule type="expression" dxfId="279" priority="522" stopIfTrue="1">
      <formula>AND(#REF!="Low Risk",BE$7&gt;=#REF!,BE$7&lt;=#REF!+#REF!-1)</formula>
    </cfRule>
    <cfRule type="expression" dxfId="278" priority="523" stopIfTrue="1">
      <formula>AND(#REF!="High Risk",BE$7&gt;=#REF!,BE$7&lt;=#REF!+#REF!-1)</formula>
    </cfRule>
    <cfRule type="expression" dxfId="277" priority="524" stopIfTrue="1">
      <formula>AND(#REF!="On Track",BE$7&gt;=#REF!,BE$7&lt;=#REF!+#REF!-1)</formula>
    </cfRule>
    <cfRule type="expression" dxfId="276" priority="525" stopIfTrue="1">
      <formula>AND(#REF!="Med Risk",BE$7&gt;=#REF!,BE$7&lt;=#REF!+#REF!-1)</formula>
    </cfRule>
    <cfRule type="expression" dxfId="275" priority="526" stopIfTrue="1">
      <formula>AND(LEN(#REF!)=0,BE$7&gt;=#REF!,BE$7&lt;=#REF!+#REF!-1)</formula>
    </cfRule>
  </conditionalFormatting>
  <conditionalFormatting sqref="E22 D21:E21 D72:D73">
    <cfRule type="expression" dxfId="274" priority="516" stopIfTrue="1">
      <formula>AND(#REF!="Low Risk",D$7&gt;=$J21,D$7&lt;=$J21+$K21-1)</formula>
    </cfRule>
    <cfRule type="expression" dxfId="273" priority="517" stopIfTrue="1">
      <formula>AND(#REF!="High Risk",D$7&gt;=$J21,D$7&lt;=$J21+$K21-1)</formula>
    </cfRule>
    <cfRule type="expression" dxfId="272" priority="518" stopIfTrue="1">
      <formula>AND(#REF!="On Track",D$7&gt;=$J21,D$7&lt;=$J21+$K21-1)</formula>
    </cfRule>
    <cfRule type="expression" dxfId="271" priority="519" stopIfTrue="1">
      <formula>AND(#REF!="Med Risk",D$7&gt;=$J21,D$7&lt;=$J21+$K21-1)</formula>
    </cfRule>
    <cfRule type="expression" dxfId="270" priority="520" stopIfTrue="1">
      <formula>AND(LEN(#REF!)=0,D$7&gt;=$J21,D$7&lt;=$J21+$K21-1)</formula>
    </cfRule>
  </conditionalFormatting>
  <conditionalFormatting sqref="E22">
    <cfRule type="expression" dxfId="269" priority="514">
      <formula>AND(TODAY()&gt;=E$7,TODAY()&lt;F$7)</formula>
    </cfRule>
  </conditionalFormatting>
  <conditionalFormatting sqref="D41 M55:P55 M65:P66 M68:P73 D65:E66 M67:BP67 BE68:BP69 AK69:BD69 U70:AJ70 BM70:BP70 Q68:T72 U72:X72 Q73:AB73 AG73:AJ73 AO73:AR73 AW73:AZ73 BE73:BH73 BM73:BP73 AC72:AF72 AK72:AN72 AS72:AV72 BA72:BD72 BI72:BL72">
    <cfRule type="expression" dxfId="268" priority="509" stopIfTrue="1">
      <formula>AND(#REF!="Low Risk",D$7&gt;=$J41,D$7&lt;=$J41+$K41-1)</formula>
    </cfRule>
    <cfRule type="expression" dxfId="267" priority="510" stopIfTrue="1">
      <formula>AND(#REF!="High Risk",D$7&gt;=$J41,D$7&lt;=$J41+$K41-1)</formula>
    </cfRule>
    <cfRule type="expression" dxfId="266" priority="511" stopIfTrue="1">
      <formula>AND(#REF!="On Track",D$7&gt;=$J41,D$7&lt;=$J41+$K41-1)</formula>
    </cfRule>
    <cfRule type="expression" dxfId="265" priority="512" stopIfTrue="1">
      <formula>AND(#REF!="Med Risk",D$7&gt;=$J41,D$7&lt;=$J41+$K41-1)</formula>
    </cfRule>
    <cfRule type="expression" dxfId="264" priority="513" stopIfTrue="1">
      <formula>AND(LEN(#REF!)=0,D$7&gt;=$J41,D$7&lt;=$J41+$K41-1)</formula>
    </cfRule>
  </conditionalFormatting>
  <conditionalFormatting sqref="D25 D62 D68:D70">
    <cfRule type="expression" dxfId="263" priority="507">
      <formula>AND(TODAY()&gt;=E$7,TODAY()&lt;F$7)</formula>
    </cfRule>
  </conditionalFormatting>
  <conditionalFormatting sqref="D41">
    <cfRule type="expression" dxfId="262" priority="500">
      <formula>AND(TODAY()&gt;=D$7,TODAY()&lt;E$7)</formula>
    </cfRule>
  </conditionalFormatting>
  <conditionalFormatting sqref="D41">
    <cfRule type="expression" dxfId="261" priority="498">
      <formula>AND(TODAY()&gt;=D$7,TODAY()&lt;E$7)</formula>
    </cfRule>
  </conditionalFormatting>
  <conditionalFormatting sqref="D41">
    <cfRule type="expression" dxfId="260" priority="496">
      <formula>AND(TODAY()&gt;=D$7,TODAY()&lt;E$7)</formula>
    </cfRule>
  </conditionalFormatting>
  <conditionalFormatting sqref="D41">
    <cfRule type="expression" dxfId="259" priority="494">
      <formula>AND(TODAY()&gt;=D$7,TODAY()&lt;E$7)</formula>
    </cfRule>
  </conditionalFormatting>
  <conditionalFormatting sqref="D41">
    <cfRule type="expression" dxfId="258" priority="492">
      <formula>AND(TODAY()&gt;=D$7,TODAY()&lt;E$7)</formula>
    </cfRule>
  </conditionalFormatting>
  <conditionalFormatting sqref="D41">
    <cfRule type="expression" dxfId="257" priority="490">
      <formula>AND(TODAY()&gt;=D$7,TODAY()&lt;E$7)</formula>
    </cfRule>
  </conditionalFormatting>
  <conditionalFormatting sqref="D41">
    <cfRule type="expression" dxfId="256" priority="488">
      <formula>AND(TODAY()&gt;=D$7,TODAY()&lt;E$7)</formula>
    </cfRule>
  </conditionalFormatting>
  <conditionalFormatting sqref="D14:D15">
    <cfRule type="expression" dxfId="255" priority="481">
      <formula>AND(TODAY()&gt;=D$7,TODAY()&lt;E$7)</formula>
    </cfRule>
  </conditionalFormatting>
  <conditionalFormatting sqref="D16">
    <cfRule type="expression" dxfId="254" priority="474">
      <formula>AND(TODAY()&gt;=D$7,TODAY()&lt;E$7)</formula>
    </cfRule>
  </conditionalFormatting>
  <conditionalFormatting sqref="D30">
    <cfRule type="expression" dxfId="253" priority="460">
      <formula>AND(TODAY()&gt;=D$7,TODAY()&lt;E$7)</formula>
    </cfRule>
  </conditionalFormatting>
  <conditionalFormatting sqref="D30">
    <cfRule type="expression" dxfId="252" priority="458">
      <formula>AND(TODAY()&gt;=D$7,TODAY()&lt;E$7)</formula>
    </cfRule>
  </conditionalFormatting>
  <conditionalFormatting sqref="D30">
    <cfRule type="expression" dxfId="251" priority="456">
      <formula>AND(TODAY()&gt;=D$7,TODAY()&lt;E$7)</formula>
    </cfRule>
  </conditionalFormatting>
  <conditionalFormatting sqref="D30">
    <cfRule type="expression" dxfId="250" priority="454">
      <formula>AND(TODAY()&gt;=D$7,TODAY()&lt;E$7)</formula>
    </cfRule>
  </conditionalFormatting>
  <conditionalFormatting sqref="D30">
    <cfRule type="expression" dxfId="249" priority="452">
      <formula>AND(TODAY()&gt;=D$7,TODAY()&lt;E$7)</formula>
    </cfRule>
  </conditionalFormatting>
  <conditionalFormatting sqref="D31">
    <cfRule type="expression" dxfId="248" priority="445">
      <formula>AND(TODAY()&gt;=D$7,TODAY()&lt;E$7)</formula>
    </cfRule>
  </conditionalFormatting>
  <conditionalFormatting sqref="D52">
    <cfRule type="expression" dxfId="247" priority="421">
      <formula>AND(TODAY()&gt;=D$7,TODAY()&lt;E$7)</formula>
    </cfRule>
  </conditionalFormatting>
  <conditionalFormatting sqref="D37">
    <cfRule type="expression" dxfId="246" priority="414">
      <formula>AND(TODAY()&gt;=D$7,TODAY()&lt;E$7)</formula>
    </cfRule>
  </conditionalFormatting>
  <conditionalFormatting sqref="D37">
    <cfRule type="expression" dxfId="245" priority="412">
      <formula>AND(TODAY()&gt;=D$7,TODAY()&lt;E$7)</formula>
    </cfRule>
  </conditionalFormatting>
  <conditionalFormatting sqref="D37">
    <cfRule type="expression" dxfId="244" priority="410">
      <formula>AND(TODAY()&gt;=D$7,TODAY()&lt;E$7)</formula>
    </cfRule>
  </conditionalFormatting>
  <conditionalFormatting sqref="D37">
    <cfRule type="expression" dxfId="243" priority="408">
      <formula>AND(TODAY()&gt;=D$7,TODAY()&lt;E$7)</formula>
    </cfRule>
  </conditionalFormatting>
  <conditionalFormatting sqref="D37">
    <cfRule type="expression" dxfId="242" priority="406">
      <formula>AND(TODAY()&gt;=D$7,TODAY()&lt;E$7)</formula>
    </cfRule>
  </conditionalFormatting>
  <conditionalFormatting sqref="D37">
    <cfRule type="expression" dxfId="241" priority="404">
      <formula>AND(TODAY()&gt;=D$7,TODAY()&lt;E$7)</formula>
    </cfRule>
  </conditionalFormatting>
  <conditionalFormatting sqref="D37">
    <cfRule type="expression" dxfId="240" priority="402">
      <formula>AND(TODAY()&gt;=D$7,TODAY()&lt;E$7)</formula>
    </cfRule>
  </conditionalFormatting>
  <conditionalFormatting sqref="D38:F38">
    <cfRule type="expression" dxfId="239" priority="395">
      <formula>AND(TODAY()&gt;=D$7,TODAY()&lt;E$7)</formula>
    </cfRule>
  </conditionalFormatting>
  <conditionalFormatting sqref="AC38:AF40">
    <cfRule type="expression" dxfId="238" priority="2111" stopIfTrue="1">
      <formula>AND(#REF!="Low Risk",Y$7&gt;=#REF!,Y$7&lt;=#REF!+#REF!-1)</formula>
    </cfRule>
    <cfRule type="expression" dxfId="237" priority="2112" stopIfTrue="1">
      <formula>AND(#REF!="High Risk",Y$7&gt;=#REF!,Y$7&lt;=#REF!+#REF!-1)</formula>
    </cfRule>
    <cfRule type="expression" dxfId="236" priority="2113" stopIfTrue="1">
      <formula>AND(#REF!="On Track",Y$7&gt;=#REF!,Y$7&lt;=#REF!+#REF!-1)</formula>
    </cfRule>
    <cfRule type="expression" dxfId="235" priority="2114" stopIfTrue="1">
      <formula>AND(#REF!="Med Risk",Y$7&gt;=#REF!,Y$7&lt;=#REF!+#REF!-1)</formula>
    </cfRule>
    <cfRule type="expression" dxfId="234" priority="2115" stopIfTrue="1">
      <formula>AND(LEN(#REF!)=0,Y$7&gt;=#REF!,Y$7&lt;=#REF!+#REF!-1)</formula>
    </cfRule>
  </conditionalFormatting>
  <conditionalFormatting sqref="D48:G48">
    <cfRule type="expression" dxfId="233" priority="388">
      <formula>AND(TODAY()&gt;=D$7,TODAY()&lt;E$7)</formula>
    </cfRule>
  </conditionalFormatting>
  <conditionalFormatting sqref="E12 E60:E61">
    <cfRule type="expression" dxfId="232" priority="2231" stopIfTrue="1">
      <formula>AND(#REF!="Low Risk",D$7&gt;=$J12,D$7&lt;=$J12+$K12-1)</formula>
    </cfRule>
    <cfRule type="expression" dxfId="231" priority="2232" stopIfTrue="1">
      <formula>AND(#REF!="High Risk",D$7&gt;=$J12,D$7&lt;=$J12+$K12-1)</formula>
    </cfRule>
    <cfRule type="expression" dxfId="230" priority="2233" stopIfTrue="1">
      <formula>AND(#REF!="On Track",D$7&gt;=$J12,D$7&lt;=$J12+$K12-1)</formula>
    </cfRule>
    <cfRule type="expression" dxfId="229" priority="2234" stopIfTrue="1">
      <formula>AND(#REF!="Med Risk",D$7&gt;=$J12,D$7&lt;=$J12+$K12-1)</formula>
    </cfRule>
    <cfRule type="expression" dxfId="228" priority="2235" stopIfTrue="1">
      <formula>AND(LEN(#REF!)=0,D$7&gt;=$J12,D$7&lt;=$J12+$K12-1)</formula>
    </cfRule>
  </conditionalFormatting>
  <conditionalFormatting sqref="E12 E60:E61">
    <cfRule type="expression" dxfId="227" priority="2237">
      <formula>AND(TODAY()&gt;=D$7,TODAY()&lt;E$7)</formula>
    </cfRule>
  </conditionalFormatting>
  <conditionalFormatting sqref="E14:E15 D15:E15">
    <cfRule type="expression" dxfId="226" priority="386">
      <formula>AND(TODAY()&gt;=D$7,TODAY()&lt;E$7)</formula>
    </cfRule>
  </conditionalFormatting>
  <conditionalFormatting sqref="E16">
    <cfRule type="expression" dxfId="225" priority="384">
      <formula>AND(TODAY()&gt;=E$7,TODAY()&lt;F$7)</formula>
    </cfRule>
  </conditionalFormatting>
  <conditionalFormatting sqref="D21">
    <cfRule type="expression" dxfId="224" priority="377">
      <formula>AND(TODAY()&gt;=D$7,TODAY()&lt;E$7)</formula>
    </cfRule>
  </conditionalFormatting>
  <conditionalFormatting sqref="E21">
    <cfRule type="expression" dxfId="223" priority="370">
      <formula>AND(TODAY()&gt;=E$7,TODAY()&lt;F$7)</formula>
    </cfRule>
  </conditionalFormatting>
  <conditionalFormatting sqref="F24">
    <cfRule type="expression" dxfId="222" priority="368">
      <formula>AND(TODAY()&gt;=F$7,TODAY()&lt;G$7)</formula>
    </cfRule>
  </conditionalFormatting>
  <conditionalFormatting sqref="F24">
    <cfRule type="expression" dxfId="221" priority="366">
      <formula>AND(TODAY()&gt;=F$7,TODAY()&lt;G$7)</formula>
    </cfRule>
  </conditionalFormatting>
  <conditionalFormatting sqref="D25 D68">
    <cfRule type="expression" dxfId="220" priority="2328" stopIfTrue="1">
      <formula>AND(#REF!="Low Risk",E$7&gt;=$J25,E$7&lt;=$J25+$K25-1)</formula>
    </cfRule>
    <cfRule type="expression" dxfId="219" priority="2329" stopIfTrue="1">
      <formula>AND(#REF!="High Risk",E$7&gt;=$J25,E$7&lt;=$J25+$K25-1)</formula>
    </cfRule>
    <cfRule type="expression" dxfId="218" priority="2330" stopIfTrue="1">
      <formula>AND(#REF!="On Track",E$7&gt;=$J25,E$7&lt;=$J25+$K25-1)</formula>
    </cfRule>
    <cfRule type="expression" dxfId="217" priority="2331" stopIfTrue="1">
      <formula>AND(#REF!="Med Risk",E$7&gt;=$J25,E$7&lt;=$J25+$K25-1)</formula>
    </cfRule>
    <cfRule type="expression" dxfId="216" priority="2332" stopIfTrue="1">
      <formula>AND(LEN(#REF!)=0,E$7&gt;=$J25,E$7&lt;=$J25+$K25-1)</formula>
    </cfRule>
  </conditionalFormatting>
  <conditionalFormatting sqref="E26">
    <cfRule type="expression" dxfId="215" priority="359">
      <formula>AND(TODAY()&gt;=E$7,TODAY()&lt;F$7)</formula>
    </cfRule>
  </conditionalFormatting>
  <conditionalFormatting sqref="E26">
    <cfRule type="expression" dxfId="214" priority="357">
      <formula>AND(TODAY()&gt;=E$7,TODAY()&lt;F$7)</formula>
    </cfRule>
  </conditionalFormatting>
  <conditionalFormatting sqref="E26">
    <cfRule type="expression" dxfId="213" priority="355">
      <formula>AND(TODAY()&gt;=E$7,TODAY()&lt;F$7)</formula>
    </cfRule>
  </conditionalFormatting>
  <conditionalFormatting sqref="Q12:AL43 Y58:BP58 AG59:BP59 AO60:AZ60 AS61:BD61 BM60:BP61 N60:AJ60 Q61:AN61 Q62:T62 Y62:BP62 BE60:BL60 BI61:BL61 Q46:AL48 Y65:BP65 Q66:X66 AO66:BP66">
    <cfRule type="expression" dxfId="212" priority="2346" stopIfTrue="1">
      <formula>AND(#REF!="Low Risk",J$7&gt;=$J12,J$7&lt;=$J12+$K12-1)</formula>
    </cfRule>
    <cfRule type="expression" dxfId="211" priority="2347" stopIfTrue="1">
      <formula>AND(#REF!="High Risk",J$7&gt;=$J12,J$7&lt;=$J12+$K12-1)</formula>
    </cfRule>
    <cfRule type="expression" dxfId="210" priority="2348" stopIfTrue="1">
      <formula>AND(#REF!="On Track",J$7&gt;=$J12,J$7&lt;=$J12+$K12-1)</formula>
    </cfRule>
    <cfRule type="expression" dxfId="209" priority="2349" stopIfTrue="1">
      <formula>AND(#REF!="Med Risk",J$7&gt;=$J12,J$7&lt;=$J12+$K12-1)</formula>
    </cfRule>
    <cfRule type="expression" dxfId="208" priority="2350" stopIfTrue="1">
      <formula>AND(LEN(#REF!)=0,J$7&gt;=$J12,J$7&lt;=$J12+$K12-1)</formula>
    </cfRule>
  </conditionalFormatting>
  <conditionalFormatting sqref="U35:X35 AG47:AJ48 U36:AH48">
    <cfRule type="expression" dxfId="207" priority="2361" stopIfTrue="1">
      <formula>AND(#REF!="Low Risk",Q$7&gt;=#REF!,Q$7&lt;=#REF!+#REF!-1)</formula>
    </cfRule>
    <cfRule type="expression" dxfId="206" priority="2362" stopIfTrue="1">
      <formula>AND(#REF!="High Risk",Q$7&gt;=#REF!,Q$7&lt;=#REF!+#REF!-1)</formula>
    </cfRule>
    <cfRule type="expression" dxfId="205" priority="2363" stopIfTrue="1">
      <formula>AND(#REF!="On Track",Q$7&gt;=#REF!,Q$7&lt;=#REF!+#REF!-1)</formula>
    </cfRule>
    <cfRule type="expression" dxfId="204" priority="2364" stopIfTrue="1">
      <formula>AND(#REF!="Med Risk",Q$7&gt;=#REF!,Q$7&lt;=#REF!+#REF!-1)</formula>
    </cfRule>
    <cfRule type="expression" dxfId="203" priority="2365" stopIfTrue="1">
      <formula>AND(LEN(#REF!)=0,Q$7&gt;=#REF!,Q$7&lt;=#REF!+#REF!-1)</formula>
    </cfRule>
  </conditionalFormatting>
  <conditionalFormatting sqref="AC49:AD52">
    <cfRule type="expression" dxfId="202" priority="2368" stopIfTrue="1">
      <formula>AND(#REF!="Low Risk",Y$7&gt;=#REF!,Y$7&lt;=#REF!+#REF!-1)</formula>
    </cfRule>
    <cfRule type="expression" dxfId="201" priority="2369" stopIfTrue="1">
      <formula>AND(#REF!="High Risk",Y$7&gt;=#REF!,Y$7&lt;=#REF!+#REF!-1)</formula>
    </cfRule>
    <cfRule type="expression" dxfId="200" priority="2370" stopIfTrue="1">
      <formula>AND(#REF!="On Track",Y$7&gt;=#REF!,Y$7&lt;=#REF!+#REF!-1)</formula>
    </cfRule>
    <cfRule type="expression" dxfId="199" priority="2371" stopIfTrue="1">
      <formula>AND(#REF!="Med Risk",Y$7&gt;=#REF!,Y$7&lt;=#REF!+#REF!-1)</formula>
    </cfRule>
    <cfRule type="expression" dxfId="198" priority="2372" stopIfTrue="1">
      <formula>AND(LEN(#REF!)=0,Y$7&gt;=#REF!,Y$7&lt;=#REF!+#REF!-1)</formula>
    </cfRule>
  </conditionalFormatting>
  <conditionalFormatting sqref="BM56:BO57 M56:P57 M58:X58 M59:AF59 AK60:AN60 BA60:BD60 M60 AO61:AR61 BE61:BH61 M61:P62 U62:X62 U56:BK57">
    <cfRule type="expression" dxfId="197" priority="341">
      <formula>AND(TODAY()&gt;=M$7,TODAY()&lt;N$7)</formula>
    </cfRule>
  </conditionalFormatting>
  <conditionalFormatting sqref="U56:BP57 Q58:X58 Q59:AF59 AK60:AN60 BA60:BD60 AO61:AR61 BE61:BH61 U62:X62">
    <cfRule type="expression" dxfId="196" priority="347" stopIfTrue="1">
      <formula>AND(#REF!="Low Risk",Q$7&gt;=#REF!,Q$7&lt;=#REF!+#REF!-1)</formula>
    </cfRule>
    <cfRule type="expression" dxfId="195" priority="348" stopIfTrue="1">
      <formula>AND(#REF!="High Risk",Q$7&gt;=#REF!,Q$7&lt;=#REF!+#REF!-1)</formula>
    </cfRule>
    <cfRule type="expression" dxfId="194" priority="349" stopIfTrue="1">
      <formula>AND(#REF!="On Track",Q$7&gt;=#REF!,Q$7&lt;=#REF!+#REF!-1)</formula>
    </cfRule>
    <cfRule type="expression" dxfId="193" priority="350" stopIfTrue="1">
      <formula>AND(#REF!="Med Risk",Q$7&gt;=#REF!,Q$7&lt;=#REF!+#REF!-1)</formula>
    </cfRule>
    <cfRule type="expression" dxfId="192" priority="351" stopIfTrue="1">
      <formula>AND(LEN(#REF!)=0,Q$7&gt;=#REF!,Q$7&lt;=#REF!+#REF!-1)</formula>
    </cfRule>
  </conditionalFormatting>
  <conditionalFormatting sqref="BL56:BL57 BP56:BP57">
    <cfRule type="expression" dxfId="191" priority="352">
      <formula>AND(TODAY()&gt;=BL$7,TODAY()&lt;#REF!)</formula>
    </cfRule>
  </conditionalFormatting>
  <conditionalFormatting sqref="M55:P55 U55:BP55">
    <cfRule type="expression" dxfId="190" priority="323">
      <formula>AND(TODAY()&gt;=M$7,TODAY()&lt;N$7)</formula>
    </cfRule>
  </conditionalFormatting>
  <conditionalFormatting sqref="U55:BP55">
    <cfRule type="expression" dxfId="189" priority="329" stopIfTrue="1">
      <formula>AND(#REF!="Low Risk",U$7&gt;=#REF!,U$7&lt;=#REF!+#REF!-1)</formula>
    </cfRule>
    <cfRule type="expression" dxfId="188" priority="330" stopIfTrue="1">
      <formula>AND(#REF!="High Risk",U$7&gt;=#REF!,U$7&lt;=#REF!+#REF!-1)</formula>
    </cfRule>
    <cfRule type="expression" dxfId="187" priority="331" stopIfTrue="1">
      <formula>AND(#REF!="On Track",U$7&gt;=#REF!,U$7&lt;=#REF!+#REF!-1)</formula>
    </cfRule>
    <cfRule type="expression" dxfId="186" priority="332" stopIfTrue="1">
      <formula>AND(#REF!="Med Risk",U$7&gt;=#REF!,U$7&lt;=#REF!+#REF!-1)</formula>
    </cfRule>
    <cfRule type="expression" dxfId="185" priority="333" stopIfTrue="1">
      <formula>AND(LEN(#REF!)=0,U$7&gt;=#REF!,U$7&lt;=#REF!+#REF!-1)</formula>
    </cfRule>
  </conditionalFormatting>
  <conditionalFormatting sqref="BL55 BP55">
    <cfRule type="expression" dxfId="184" priority="334">
      <formula>AND(TODAY()&gt;=BL$7,TODAY()&lt;#REF!)</formula>
    </cfRule>
  </conditionalFormatting>
  <conditionalFormatting sqref="AW55:AZ55">
    <cfRule type="expression" dxfId="183" priority="317">
      <formula>AND(TODAY()&gt;=AS$7,TODAY()&lt;AT$7)</formula>
    </cfRule>
  </conditionalFormatting>
  <conditionalFormatting sqref="AW55:AZ55">
    <cfRule type="expression" dxfId="182" priority="318" stopIfTrue="1">
      <formula>AND(#REF!="Low Risk",AS$7&gt;=#REF!,AS$7&lt;=#REF!+#REF!-1)</formula>
    </cfRule>
    <cfRule type="expression" dxfId="181" priority="319" stopIfTrue="1">
      <formula>AND(#REF!="High Risk",AS$7&gt;=#REF!,AS$7&lt;=#REF!+#REF!-1)</formula>
    </cfRule>
    <cfRule type="expression" dxfId="180" priority="320" stopIfTrue="1">
      <formula>AND(#REF!="On Track",AS$7&gt;=#REF!,AS$7&lt;=#REF!+#REF!-1)</formula>
    </cfRule>
    <cfRule type="expression" dxfId="179" priority="321" stopIfTrue="1">
      <formula>AND(#REF!="Med Risk",AS$7&gt;=#REF!,AS$7&lt;=#REF!+#REF!-1)</formula>
    </cfRule>
    <cfRule type="expression" dxfId="178" priority="322" stopIfTrue="1">
      <formula>AND(LEN(#REF!)=0,AS$7&gt;=#REF!,AS$7&lt;=#REF!+#REF!-1)</formula>
    </cfRule>
  </conditionalFormatting>
  <conditionalFormatting sqref="AW55:AZ55">
    <cfRule type="expression" dxfId="177" priority="311">
      <formula>AND(TODAY()&gt;=AS$7,TODAY()&lt;AT$7)</formula>
    </cfRule>
  </conditionalFormatting>
  <conditionalFormatting sqref="AW55:AZ55">
    <cfRule type="expression" dxfId="176" priority="312" stopIfTrue="1">
      <formula>AND(#REF!="Low Risk",AS$7&gt;=#REF!,AS$7&lt;=#REF!+#REF!-1)</formula>
    </cfRule>
    <cfRule type="expression" dxfId="175" priority="313" stopIfTrue="1">
      <formula>AND(#REF!="High Risk",AS$7&gt;=#REF!,AS$7&lt;=#REF!+#REF!-1)</formula>
    </cfRule>
    <cfRule type="expression" dxfId="174" priority="314" stopIfTrue="1">
      <formula>AND(#REF!="On Track",AS$7&gt;=#REF!,AS$7&lt;=#REF!+#REF!-1)</formula>
    </cfRule>
    <cfRule type="expression" dxfId="173" priority="315" stopIfTrue="1">
      <formula>AND(#REF!="Med Risk",AS$7&gt;=#REF!,AS$7&lt;=#REF!+#REF!-1)</formula>
    </cfRule>
    <cfRule type="expression" dxfId="172" priority="316" stopIfTrue="1">
      <formula>AND(LEN(#REF!)=0,AS$7&gt;=#REF!,AS$7&lt;=#REF!+#REF!-1)</formula>
    </cfRule>
  </conditionalFormatting>
  <conditionalFormatting sqref="AW55:AZ55">
    <cfRule type="expression" dxfId="171" priority="305">
      <formula>AND(TODAY()&gt;=AS$7,TODAY()&lt;AT$7)</formula>
    </cfRule>
  </conditionalFormatting>
  <conditionalFormatting sqref="AW55:AZ55">
    <cfRule type="expression" dxfId="170" priority="306" stopIfTrue="1">
      <formula>AND(#REF!="Low Risk",AS$7&gt;=#REF!,AS$7&lt;=#REF!+#REF!-1)</formula>
    </cfRule>
    <cfRule type="expression" dxfId="169" priority="307" stopIfTrue="1">
      <formula>AND(#REF!="High Risk",AS$7&gt;=#REF!,AS$7&lt;=#REF!+#REF!-1)</formula>
    </cfRule>
    <cfRule type="expression" dxfId="168" priority="308" stopIfTrue="1">
      <formula>AND(#REF!="On Track",AS$7&gt;=#REF!,AS$7&lt;=#REF!+#REF!-1)</formula>
    </cfRule>
    <cfRule type="expression" dxfId="167" priority="309" stopIfTrue="1">
      <formula>AND(#REF!="Med Risk",AS$7&gt;=#REF!,AS$7&lt;=#REF!+#REF!-1)</formula>
    </cfRule>
    <cfRule type="expression" dxfId="166" priority="310" stopIfTrue="1">
      <formula>AND(LEN(#REF!)=0,AS$7&gt;=#REF!,AS$7&lt;=#REF!+#REF!-1)</formula>
    </cfRule>
  </conditionalFormatting>
  <conditionalFormatting sqref="BA55:BD55">
    <cfRule type="expression" dxfId="165" priority="299">
      <formula>AND(TODAY()&gt;=AW$7,TODAY()&lt;AX$7)</formula>
    </cfRule>
  </conditionalFormatting>
  <conditionalFormatting sqref="BA55:BD55">
    <cfRule type="expression" dxfId="164" priority="300" stopIfTrue="1">
      <formula>AND(#REF!="Low Risk",AW$7&gt;=#REF!,AW$7&lt;=#REF!+#REF!-1)</formula>
    </cfRule>
    <cfRule type="expression" dxfId="163" priority="301" stopIfTrue="1">
      <formula>AND(#REF!="High Risk",AW$7&gt;=#REF!,AW$7&lt;=#REF!+#REF!-1)</formula>
    </cfRule>
    <cfRule type="expression" dxfId="162" priority="302" stopIfTrue="1">
      <formula>AND(#REF!="On Track",AW$7&gt;=#REF!,AW$7&lt;=#REF!+#REF!-1)</formula>
    </cfRule>
    <cfRule type="expression" dxfId="161" priority="303" stopIfTrue="1">
      <formula>AND(#REF!="Med Risk",AW$7&gt;=#REF!,AW$7&lt;=#REF!+#REF!-1)</formula>
    </cfRule>
    <cfRule type="expression" dxfId="160" priority="304" stopIfTrue="1">
      <formula>AND(LEN(#REF!)=0,AW$7&gt;=#REF!,AW$7&lt;=#REF!+#REF!-1)</formula>
    </cfRule>
  </conditionalFormatting>
  <conditionalFormatting sqref="BA55:BD55">
    <cfRule type="expression" dxfId="159" priority="293">
      <formula>AND(TODAY()&gt;=AW$7,TODAY()&lt;AX$7)</formula>
    </cfRule>
  </conditionalFormatting>
  <conditionalFormatting sqref="BA55:BD55">
    <cfRule type="expression" dxfId="158" priority="294" stopIfTrue="1">
      <formula>AND(#REF!="Low Risk",AW$7&gt;=#REF!,AW$7&lt;=#REF!+#REF!-1)</formula>
    </cfRule>
    <cfRule type="expression" dxfId="157" priority="295" stopIfTrue="1">
      <formula>AND(#REF!="High Risk",AW$7&gt;=#REF!,AW$7&lt;=#REF!+#REF!-1)</formula>
    </cfRule>
    <cfRule type="expression" dxfId="156" priority="296" stopIfTrue="1">
      <formula>AND(#REF!="On Track",AW$7&gt;=#REF!,AW$7&lt;=#REF!+#REF!-1)</formula>
    </cfRule>
    <cfRule type="expression" dxfId="155" priority="297" stopIfTrue="1">
      <formula>AND(#REF!="Med Risk",AW$7&gt;=#REF!,AW$7&lt;=#REF!+#REF!-1)</formula>
    </cfRule>
    <cfRule type="expression" dxfId="154" priority="298" stopIfTrue="1">
      <formula>AND(LEN(#REF!)=0,AW$7&gt;=#REF!,AW$7&lt;=#REF!+#REF!-1)</formula>
    </cfRule>
  </conditionalFormatting>
  <conditionalFormatting sqref="BA55:BD55">
    <cfRule type="expression" dxfId="153" priority="287">
      <formula>AND(TODAY()&gt;=AW$7,TODAY()&lt;AX$7)</formula>
    </cfRule>
  </conditionalFormatting>
  <conditionalFormatting sqref="BA55:BD55">
    <cfRule type="expression" dxfId="152" priority="288" stopIfTrue="1">
      <formula>AND(#REF!="Low Risk",AW$7&gt;=#REF!,AW$7&lt;=#REF!+#REF!-1)</formula>
    </cfRule>
    <cfRule type="expression" dxfId="151" priority="289" stopIfTrue="1">
      <formula>AND(#REF!="High Risk",AW$7&gt;=#REF!,AW$7&lt;=#REF!+#REF!-1)</formula>
    </cfRule>
    <cfRule type="expression" dxfId="150" priority="290" stopIfTrue="1">
      <formula>AND(#REF!="On Track",AW$7&gt;=#REF!,AW$7&lt;=#REF!+#REF!-1)</formula>
    </cfRule>
    <cfRule type="expression" dxfId="149" priority="291" stopIfTrue="1">
      <formula>AND(#REF!="Med Risk",AW$7&gt;=#REF!,AW$7&lt;=#REF!+#REF!-1)</formula>
    </cfRule>
    <cfRule type="expression" dxfId="148" priority="292" stopIfTrue="1">
      <formula>AND(LEN(#REF!)=0,AW$7&gt;=#REF!,AW$7&lt;=#REF!+#REF!-1)</formula>
    </cfRule>
  </conditionalFormatting>
  <conditionalFormatting sqref="E64">
    <cfRule type="expression" dxfId="147" priority="269">
      <formula>AND(TODAY()&gt;=E$7,TODAY()&lt;F$7)</formula>
    </cfRule>
  </conditionalFormatting>
  <conditionalFormatting sqref="BM64:BO64 M64:P64 U64:BK64">
    <cfRule type="expression" dxfId="146" priority="273">
      <formula>AND(TODAY()&gt;=M$7,TODAY()&lt;N$7)</formula>
    </cfRule>
  </conditionalFormatting>
  <conditionalFormatting sqref="U64:BP64">
    <cfRule type="expression" dxfId="145" priority="279" stopIfTrue="1">
      <formula>AND(#REF!="Low Risk",U$7&gt;=#REF!,U$7&lt;=#REF!+#REF!-1)</formula>
    </cfRule>
    <cfRule type="expression" dxfId="144" priority="280" stopIfTrue="1">
      <formula>AND(#REF!="High Risk",U$7&gt;=#REF!,U$7&lt;=#REF!+#REF!-1)</formula>
    </cfRule>
    <cfRule type="expression" dxfId="143" priority="281" stopIfTrue="1">
      <formula>AND(#REF!="On Track",U$7&gt;=#REF!,U$7&lt;=#REF!+#REF!-1)</formula>
    </cfRule>
    <cfRule type="expression" dxfId="142" priority="282" stopIfTrue="1">
      <formula>AND(#REF!="Med Risk",U$7&gt;=#REF!,U$7&lt;=#REF!+#REF!-1)</formula>
    </cfRule>
    <cfRule type="expression" dxfId="141" priority="283" stopIfTrue="1">
      <formula>AND(LEN(#REF!)=0,U$7&gt;=#REF!,U$7&lt;=#REF!+#REF!-1)</formula>
    </cfRule>
  </conditionalFormatting>
  <conditionalFormatting sqref="BL64 BP64">
    <cfRule type="expression" dxfId="140" priority="284">
      <formula>AND(TODAY()&gt;=BL$7,TODAY()&lt;#REF!)</formula>
    </cfRule>
  </conditionalFormatting>
  <conditionalFormatting sqref="D64">
    <cfRule type="expression" dxfId="139" priority="271">
      <formula>AND(TODAY()&gt;=D$7,TODAY()&lt;E$7)</formula>
    </cfRule>
  </conditionalFormatting>
  <conditionalFormatting sqref="M63:BP63 Q64:T64">
    <cfRule type="expression" dxfId="138" priority="255">
      <formula>AND(TODAY()&gt;=M$7,TODAY()&lt;N$7)</formula>
    </cfRule>
  </conditionalFormatting>
  <conditionalFormatting sqref="Q63:BP63 Q64:T64">
    <cfRule type="expression" dxfId="137" priority="261" stopIfTrue="1">
      <formula>AND(#REF!="Low Risk",Q$7&gt;=#REF!,Q$7&lt;=#REF!+#REF!-1)</formula>
    </cfRule>
    <cfRule type="expression" dxfId="136" priority="262" stopIfTrue="1">
      <formula>AND(#REF!="High Risk",Q$7&gt;=#REF!,Q$7&lt;=#REF!+#REF!-1)</formula>
    </cfRule>
    <cfRule type="expression" dxfId="135" priority="263" stopIfTrue="1">
      <formula>AND(#REF!="On Track",Q$7&gt;=#REF!,Q$7&lt;=#REF!+#REF!-1)</formula>
    </cfRule>
    <cfRule type="expression" dxfId="134" priority="264" stopIfTrue="1">
      <formula>AND(#REF!="Med Risk",Q$7&gt;=#REF!,Q$7&lt;=#REF!+#REF!-1)</formula>
    </cfRule>
    <cfRule type="expression" dxfId="133" priority="265" stopIfTrue="1">
      <formula>AND(LEN(#REF!)=0,Q$7&gt;=#REF!,Q$7&lt;=#REF!+#REF!-1)</formula>
    </cfRule>
  </conditionalFormatting>
  <conditionalFormatting sqref="BL63 BP63">
    <cfRule type="expression" dxfId="132" priority="266">
      <formula>AND(TODAY()&gt;=BL$7,TODAY()&lt;#REF!)</formula>
    </cfRule>
  </conditionalFormatting>
  <conditionalFormatting sqref="AW63:AZ63">
    <cfRule type="expression" dxfId="131" priority="249">
      <formula>AND(TODAY()&gt;=AS$7,TODAY()&lt;AT$7)</formula>
    </cfRule>
  </conditionalFormatting>
  <conditionalFormatting sqref="AW63:AZ63">
    <cfRule type="expression" dxfId="130" priority="250" stopIfTrue="1">
      <formula>AND(#REF!="Low Risk",AS$7&gt;=#REF!,AS$7&lt;=#REF!+#REF!-1)</formula>
    </cfRule>
    <cfRule type="expression" dxfId="129" priority="251" stopIfTrue="1">
      <formula>AND(#REF!="High Risk",AS$7&gt;=#REF!,AS$7&lt;=#REF!+#REF!-1)</formula>
    </cfRule>
    <cfRule type="expression" dxfId="128" priority="252" stopIfTrue="1">
      <formula>AND(#REF!="On Track",AS$7&gt;=#REF!,AS$7&lt;=#REF!+#REF!-1)</formula>
    </cfRule>
    <cfRule type="expression" dxfId="127" priority="253" stopIfTrue="1">
      <formula>AND(#REF!="Med Risk",AS$7&gt;=#REF!,AS$7&lt;=#REF!+#REF!-1)</formula>
    </cfRule>
    <cfRule type="expression" dxfId="126" priority="254" stopIfTrue="1">
      <formula>AND(LEN(#REF!)=0,AS$7&gt;=#REF!,AS$7&lt;=#REF!+#REF!-1)</formula>
    </cfRule>
  </conditionalFormatting>
  <conditionalFormatting sqref="AW63:AZ63">
    <cfRule type="expression" dxfId="125" priority="243">
      <formula>AND(TODAY()&gt;=AS$7,TODAY()&lt;AT$7)</formula>
    </cfRule>
  </conditionalFormatting>
  <conditionalFormatting sqref="AW63:AZ63">
    <cfRule type="expression" dxfId="124" priority="244" stopIfTrue="1">
      <formula>AND(#REF!="Low Risk",AS$7&gt;=#REF!,AS$7&lt;=#REF!+#REF!-1)</formula>
    </cfRule>
    <cfRule type="expression" dxfId="123" priority="245" stopIfTrue="1">
      <formula>AND(#REF!="High Risk",AS$7&gt;=#REF!,AS$7&lt;=#REF!+#REF!-1)</formula>
    </cfRule>
    <cfRule type="expression" dxfId="122" priority="246" stopIfTrue="1">
      <formula>AND(#REF!="On Track",AS$7&gt;=#REF!,AS$7&lt;=#REF!+#REF!-1)</formula>
    </cfRule>
    <cfRule type="expression" dxfId="121" priority="247" stopIfTrue="1">
      <formula>AND(#REF!="Med Risk",AS$7&gt;=#REF!,AS$7&lt;=#REF!+#REF!-1)</formula>
    </cfRule>
    <cfRule type="expression" dxfId="120" priority="248" stopIfTrue="1">
      <formula>AND(LEN(#REF!)=0,AS$7&gt;=#REF!,AS$7&lt;=#REF!+#REF!-1)</formula>
    </cfRule>
  </conditionalFormatting>
  <conditionalFormatting sqref="AW63:AZ63">
    <cfRule type="expression" dxfId="119" priority="237">
      <formula>AND(TODAY()&gt;=AS$7,TODAY()&lt;AT$7)</formula>
    </cfRule>
  </conditionalFormatting>
  <conditionalFormatting sqref="AW63:AZ63">
    <cfRule type="expression" dxfId="118" priority="238" stopIfTrue="1">
      <formula>AND(#REF!="Low Risk",AS$7&gt;=#REF!,AS$7&lt;=#REF!+#REF!-1)</formula>
    </cfRule>
    <cfRule type="expression" dxfId="117" priority="239" stopIfTrue="1">
      <formula>AND(#REF!="High Risk",AS$7&gt;=#REF!,AS$7&lt;=#REF!+#REF!-1)</formula>
    </cfRule>
    <cfRule type="expression" dxfId="116" priority="240" stopIfTrue="1">
      <formula>AND(#REF!="On Track",AS$7&gt;=#REF!,AS$7&lt;=#REF!+#REF!-1)</formula>
    </cfRule>
    <cfRule type="expression" dxfId="115" priority="241" stopIfTrue="1">
      <formula>AND(#REF!="Med Risk",AS$7&gt;=#REF!,AS$7&lt;=#REF!+#REF!-1)</formula>
    </cfRule>
    <cfRule type="expression" dxfId="114" priority="242" stopIfTrue="1">
      <formula>AND(LEN(#REF!)=0,AS$7&gt;=#REF!,AS$7&lt;=#REF!+#REF!-1)</formula>
    </cfRule>
  </conditionalFormatting>
  <conditionalFormatting sqref="BA63:BD63">
    <cfRule type="expression" dxfId="113" priority="231">
      <formula>AND(TODAY()&gt;=AW$7,TODAY()&lt;AX$7)</formula>
    </cfRule>
  </conditionalFormatting>
  <conditionalFormatting sqref="BA63:BD63">
    <cfRule type="expression" dxfId="112" priority="232" stopIfTrue="1">
      <formula>AND(#REF!="Low Risk",AW$7&gt;=#REF!,AW$7&lt;=#REF!+#REF!-1)</formula>
    </cfRule>
    <cfRule type="expression" dxfId="111" priority="233" stopIfTrue="1">
      <formula>AND(#REF!="High Risk",AW$7&gt;=#REF!,AW$7&lt;=#REF!+#REF!-1)</formula>
    </cfRule>
    <cfRule type="expression" dxfId="110" priority="234" stopIfTrue="1">
      <formula>AND(#REF!="On Track",AW$7&gt;=#REF!,AW$7&lt;=#REF!+#REF!-1)</formula>
    </cfRule>
    <cfRule type="expression" dxfId="109" priority="235" stopIfTrue="1">
      <formula>AND(#REF!="Med Risk",AW$7&gt;=#REF!,AW$7&lt;=#REF!+#REF!-1)</formula>
    </cfRule>
    <cfRule type="expression" dxfId="108" priority="236" stopIfTrue="1">
      <formula>AND(LEN(#REF!)=0,AW$7&gt;=#REF!,AW$7&lt;=#REF!+#REF!-1)</formula>
    </cfRule>
  </conditionalFormatting>
  <conditionalFormatting sqref="BA63:BD63">
    <cfRule type="expression" dxfId="107" priority="225">
      <formula>AND(TODAY()&gt;=AW$7,TODAY()&lt;AX$7)</formula>
    </cfRule>
  </conditionalFormatting>
  <conditionalFormatting sqref="BA63:BD63">
    <cfRule type="expression" dxfId="106" priority="226" stopIfTrue="1">
      <formula>AND(#REF!="Low Risk",AW$7&gt;=#REF!,AW$7&lt;=#REF!+#REF!-1)</formula>
    </cfRule>
    <cfRule type="expression" dxfId="105" priority="227" stopIfTrue="1">
      <formula>AND(#REF!="High Risk",AW$7&gt;=#REF!,AW$7&lt;=#REF!+#REF!-1)</formula>
    </cfRule>
    <cfRule type="expression" dxfId="104" priority="228" stopIfTrue="1">
      <formula>AND(#REF!="On Track",AW$7&gt;=#REF!,AW$7&lt;=#REF!+#REF!-1)</formula>
    </cfRule>
    <cfRule type="expression" dxfId="103" priority="229" stopIfTrue="1">
      <formula>AND(#REF!="Med Risk",AW$7&gt;=#REF!,AW$7&lt;=#REF!+#REF!-1)</formula>
    </cfRule>
    <cfRule type="expression" dxfId="102" priority="230" stopIfTrue="1">
      <formula>AND(LEN(#REF!)=0,AW$7&gt;=#REF!,AW$7&lt;=#REF!+#REF!-1)</formula>
    </cfRule>
  </conditionalFormatting>
  <conditionalFormatting sqref="BA63:BD63">
    <cfRule type="expression" dxfId="101" priority="219">
      <formula>AND(TODAY()&gt;=AW$7,TODAY()&lt;AX$7)</formula>
    </cfRule>
  </conditionalFormatting>
  <conditionalFormatting sqref="BA63:BD63">
    <cfRule type="expression" dxfId="100" priority="220" stopIfTrue="1">
      <formula>AND(#REF!="Low Risk",AW$7&gt;=#REF!,AW$7&lt;=#REF!+#REF!-1)</formula>
    </cfRule>
    <cfRule type="expression" dxfId="99" priority="221" stopIfTrue="1">
      <formula>AND(#REF!="High Risk",AW$7&gt;=#REF!,AW$7&lt;=#REF!+#REF!-1)</formula>
    </cfRule>
    <cfRule type="expression" dxfId="98" priority="222" stopIfTrue="1">
      <formula>AND(#REF!="On Track",AW$7&gt;=#REF!,AW$7&lt;=#REF!+#REF!-1)</formula>
    </cfRule>
    <cfRule type="expression" dxfId="97" priority="223" stopIfTrue="1">
      <formula>AND(#REF!="Med Risk",AW$7&gt;=#REF!,AW$7&lt;=#REF!+#REF!-1)</formula>
    </cfRule>
    <cfRule type="expression" dxfId="96" priority="224" stopIfTrue="1">
      <formula>AND(LEN(#REF!)=0,AW$7&gt;=#REF!,AW$7&lt;=#REF!+#REF!-1)</formula>
    </cfRule>
  </conditionalFormatting>
  <conditionalFormatting sqref="E58">
    <cfRule type="expression" dxfId="95" priority="149">
      <formula>AND(TODAY()&gt;=E$7,TODAY()&lt;F$7)</formula>
    </cfRule>
  </conditionalFormatting>
  <conditionalFormatting sqref="E59">
    <cfRule type="expression" dxfId="94" priority="147">
      <formula>AND(TODAY()&gt;=E$7,TODAY()&lt;F$7)</formula>
    </cfRule>
  </conditionalFormatting>
  <conditionalFormatting sqref="D71 D65:E66">
    <cfRule type="expression" dxfId="93" priority="131">
      <formula>AND(TODAY()&gt;=D$7,TODAY()&lt;E$7)</formula>
    </cfRule>
  </conditionalFormatting>
  <conditionalFormatting sqref="D71">
    <cfRule type="expression" dxfId="92" priority="130">
      <formula>AND(TODAY()&gt;=E$7,TODAY()&lt;F$7)</formula>
    </cfRule>
  </conditionalFormatting>
  <conditionalFormatting sqref="D69:D70">
    <cfRule type="expression" dxfId="91" priority="137">
      <formula>AND(TODAY()&gt;=D$7,TODAY()&lt;E$7)</formula>
    </cfRule>
  </conditionalFormatting>
  <conditionalFormatting sqref="BM71:BO71 Y66:AN66 M66:P66 U68:BD68 U69:AJ69 AK70:BK70 U71:BK71 M68:P73">
    <cfRule type="expression" dxfId="90" priority="123">
      <formula>AND(TODAY()&gt;=M$7,TODAY()&lt;N$7)</formula>
    </cfRule>
  </conditionalFormatting>
  <conditionalFormatting sqref="U71:BP71 Y66:AN66 U68:BD68 U69:AJ69 AK70:BL70">
    <cfRule type="expression" dxfId="89" priority="124" stopIfTrue="1">
      <formula>AND(#REF!="Low Risk",U$7&gt;=#REF!,U$7&lt;=#REF!+#REF!-1)</formula>
    </cfRule>
    <cfRule type="expression" dxfId="88" priority="125" stopIfTrue="1">
      <formula>AND(#REF!="High Risk",U$7&gt;=#REF!,U$7&lt;=#REF!+#REF!-1)</formula>
    </cfRule>
    <cfRule type="expression" dxfId="87" priority="126" stopIfTrue="1">
      <formula>AND(#REF!="On Track",U$7&gt;=#REF!,U$7&lt;=#REF!+#REF!-1)</formula>
    </cfRule>
    <cfRule type="expression" dxfId="86" priority="127" stopIfTrue="1">
      <formula>AND(#REF!="Med Risk",U$7&gt;=#REF!,U$7&lt;=#REF!+#REF!-1)</formula>
    </cfRule>
    <cfRule type="expression" dxfId="85" priority="128" stopIfTrue="1">
      <formula>AND(LEN(#REF!)=0,U$7&gt;=#REF!,U$7&lt;=#REF!+#REF!-1)</formula>
    </cfRule>
  </conditionalFormatting>
  <conditionalFormatting sqref="BP71 BL70:BL71">
    <cfRule type="expression" dxfId="84" priority="129">
      <formula>AND(TODAY()&gt;=BL$7,TODAY()&lt;#REF!)</formula>
    </cfRule>
  </conditionalFormatting>
  <conditionalFormatting sqref="D68">
    <cfRule type="expression" dxfId="83" priority="119">
      <formula>AND(TODAY()&gt;=E$7,TODAY()&lt;F$7)</formula>
    </cfRule>
  </conditionalFormatting>
  <conditionalFormatting sqref="M67:BK67 BE68:BK69 AK69:BD69 U70:AJ70 BM67:BO70 Q68:T72 U72:X72 Q73:AB73 AG73:AJ73 AO73:AR73 AW73:AZ73 BE73:BH73 BM73:BP73">
    <cfRule type="expression" dxfId="82" priority="110">
      <formula>AND(TODAY()&gt;=M$7,TODAY()&lt;N$7)</formula>
    </cfRule>
  </conditionalFormatting>
  <conditionalFormatting sqref="I67">
    <cfRule type="dataBar" priority="111">
      <dataBar>
        <cfvo type="num" val="0"/>
        <cfvo type="num" val="1"/>
        <color theme="9" tint="0.59999389629810485"/>
      </dataBar>
      <extLst>
        <ext xmlns:x14="http://schemas.microsoft.com/office/spreadsheetml/2009/9/main" uri="{B025F937-C7B1-47D3-B67F-A62EFF666E3E}">
          <x14:id>{DAFC241F-4437-4B8F-9F0B-62655003A6CE}</x14:id>
        </ext>
      </extLst>
    </cfRule>
  </conditionalFormatting>
  <conditionalFormatting sqref="BL67:BL69 BP67:BP70">
    <cfRule type="expression" dxfId="81" priority="117">
      <formula>AND(TODAY()&gt;=BL$7,TODAY()&lt;#REF!)</formula>
    </cfRule>
  </conditionalFormatting>
  <conditionalFormatting sqref="D72:D73">
    <cfRule type="expression" dxfId="80" priority="103">
      <formula>AND(TODAY()&gt;=D$7,TODAY()&lt;E$7)</formula>
    </cfRule>
  </conditionalFormatting>
  <conditionalFormatting sqref="D72:D73">
    <cfRule type="expression" dxfId="79" priority="102">
      <formula>AND(TODAY()&gt;=E$7,TODAY()&lt;F$7)</formula>
    </cfRule>
  </conditionalFormatting>
  <conditionalFormatting sqref="Y58:BP58 AG59:BP59 AO60:AZ60 AS61:BD61 BM60:BP61">
    <cfRule type="expression" dxfId="78" priority="95">
      <formula>AND(TODAY()&gt;=U$7,TODAY()&lt;V$7)</formula>
    </cfRule>
  </conditionalFormatting>
  <conditionalFormatting sqref="N60:AJ60 Q61:AN61 Q62:T62 Y62:BP62">
    <cfRule type="expression" dxfId="77" priority="88">
      <formula>AND(TODAY()&gt;=J$7,TODAY()&lt;K$7)</formula>
    </cfRule>
  </conditionalFormatting>
  <conditionalFormatting sqref="BE60:BL60 BI61:BL61">
    <cfRule type="expression" dxfId="76" priority="74">
      <formula>AND(TODAY()&gt;=BA$7,TODAY()&lt;BB$7)</formula>
    </cfRule>
  </conditionalFormatting>
  <conditionalFormatting sqref="U65:BP65 Q66:X66 AO66:BP66">
    <cfRule type="expression" dxfId="75" priority="67">
      <formula>AND(TODAY()&gt;=M$7,TODAY()&lt;N$7)</formula>
    </cfRule>
  </conditionalFormatting>
  <conditionalFormatting sqref="Y72:AB72 AG72:AJ72 AO72:AR72 AW72:AZ72 BE72:BH72 BM72:BP72">
    <cfRule type="expression" dxfId="74" priority="60">
      <formula>AND(TODAY()&gt;=Y$7,TODAY()&lt;Z$7)</formula>
    </cfRule>
  </conditionalFormatting>
  <conditionalFormatting sqref="Y72:AB72 AG72:AJ72 AO72:AR72 AW72:AZ72 BE72:BH72 BM72:BP72">
    <cfRule type="expression" dxfId="73" priority="61" stopIfTrue="1">
      <formula>AND(#REF!="Low Risk",Y$7&gt;=#REF!,Y$7&lt;=#REF!+#REF!-1)</formula>
    </cfRule>
    <cfRule type="expression" dxfId="72" priority="62" stopIfTrue="1">
      <formula>AND(#REF!="High Risk",Y$7&gt;=#REF!,Y$7&lt;=#REF!+#REF!-1)</formula>
    </cfRule>
    <cfRule type="expression" dxfId="71" priority="63" stopIfTrue="1">
      <formula>AND(#REF!="On Track",Y$7&gt;=#REF!,Y$7&lt;=#REF!+#REF!-1)</formula>
    </cfRule>
    <cfRule type="expression" dxfId="70" priority="64" stopIfTrue="1">
      <formula>AND(#REF!="Med Risk",Y$7&gt;=#REF!,Y$7&lt;=#REF!+#REF!-1)</formula>
    </cfRule>
    <cfRule type="expression" dxfId="69" priority="65" stopIfTrue="1">
      <formula>AND(LEN(#REF!)=0,Y$7&gt;=#REF!,Y$7&lt;=#REF!+#REF!-1)</formula>
    </cfRule>
  </conditionalFormatting>
  <conditionalFormatting sqref="AC72:AF72 AK72:AN72 AS72:AV72 BA72:BD72 BI72:BL72">
    <cfRule type="expression" dxfId="68" priority="53">
      <formula>AND(TODAY()&gt;=AC$7,TODAY()&lt;AD$7)</formula>
    </cfRule>
  </conditionalFormatting>
  <conditionalFormatting sqref="AC73:AF73 AK73:AN73 AS73:AV73 BA73:BD73 BI73:BL73">
    <cfRule type="expression" dxfId="67" priority="46">
      <formula>AND(TODAY()&gt;=AC$7,TODAY()&lt;AD$7)</formula>
    </cfRule>
  </conditionalFormatting>
  <conditionalFormatting sqref="AC73:AF73 AK73:AN73 AS73:AV73 BA73:BD73 BI73:BL73">
    <cfRule type="expression" dxfId="66" priority="47" stopIfTrue="1">
      <formula>AND(#REF!="Low Risk",AC$7&gt;=#REF!,AC$7&lt;=#REF!+#REF!-1)</formula>
    </cfRule>
    <cfRule type="expression" dxfId="65" priority="48" stopIfTrue="1">
      <formula>AND(#REF!="High Risk",AC$7&gt;=#REF!,AC$7&lt;=#REF!+#REF!-1)</formula>
    </cfRule>
    <cfRule type="expression" dxfId="64" priority="49" stopIfTrue="1">
      <formula>AND(#REF!="On Track",AC$7&gt;=#REF!,AC$7&lt;=#REF!+#REF!-1)</formula>
    </cfRule>
    <cfRule type="expression" dxfId="63" priority="50" stopIfTrue="1">
      <formula>AND(#REF!="Med Risk",AC$7&gt;=#REF!,AC$7&lt;=#REF!+#REF!-1)</formula>
    </cfRule>
    <cfRule type="expression" dxfId="62" priority="51" stopIfTrue="1">
      <formula>AND(LEN(#REF!)=0,AC$7&gt;=#REF!,AC$7&lt;=#REF!+#REF!-1)</formula>
    </cfRule>
  </conditionalFormatting>
  <conditionalFormatting sqref="E40">
    <cfRule type="expression" dxfId="61" priority="44">
      <formula>AND(TODAY()&gt;=E$7,TODAY()&lt;F$7)</formula>
    </cfRule>
  </conditionalFormatting>
  <conditionalFormatting sqref="E39">
    <cfRule type="expression" dxfId="60" priority="42">
      <formula>AND(TODAY()&gt;=E$7,TODAY()&lt;F$7)</formula>
    </cfRule>
  </conditionalFormatting>
  <conditionalFormatting sqref="G41:G42">
    <cfRule type="expression" dxfId="59" priority="2572" stopIfTrue="1">
      <formula>AND(#REF!="Low Risk",E$7&gt;=$J41,E$7&lt;=$J41+$K41-1)</formula>
    </cfRule>
    <cfRule type="expression" dxfId="58" priority="2573" stopIfTrue="1">
      <formula>AND(#REF!="High Risk",E$7&gt;=$J41,E$7&lt;=$J41+$K41-1)</formula>
    </cfRule>
    <cfRule type="expression" dxfId="57" priority="2574" stopIfTrue="1">
      <formula>AND(#REF!="On Track",E$7&gt;=$J41,E$7&lt;=$J41+$K41-1)</formula>
    </cfRule>
    <cfRule type="expression" dxfId="56" priority="2575" stopIfTrue="1">
      <formula>AND(#REF!="Med Risk",E$7&gt;=$J41,E$7&lt;=$J41+$K41-1)</formula>
    </cfRule>
    <cfRule type="expression" dxfId="55" priority="2576" stopIfTrue="1">
      <formula>AND(LEN(#REF!)=0,E$7&gt;=$J41,E$7&lt;=$J41+$K41-1)</formula>
    </cfRule>
  </conditionalFormatting>
  <conditionalFormatting sqref="G42">
    <cfRule type="expression" dxfId="54" priority="2638">
      <formula>AND(TODAY()&gt;=E$7,TODAY()&lt;F$7)</formula>
    </cfRule>
  </conditionalFormatting>
  <conditionalFormatting sqref="E41">
    <cfRule type="expression" dxfId="53" priority="35">
      <formula>AND(TODAY()&gt;=C$7,TODAY()&lt;D$7)</formula>
    </cfRule>
  </conditionalFormatting>
  <conditionalFormatting sqref="E41">
    <cfRule type="expression" dxfId="52" priority="37" stopIfTrue="1">
      <formula>AND(#REF!="Low Risk",C$7&gt;=$J41,C$7&lt;=$J41+$K41-1)</formula>
    </cfRule>
    <cfRule type="expression" dxfId="51" priority="38" stopIfTrue="1">
      <formula>AND(#REF!="High Risk",C$7&gt;=$J41,C$7&lt;=$J41+$K41-1)</formula>
    </cfRule>
    <cfRule type="expression" dxfId="50" priority="39" stopIfTrue="1">
      <formula>AND(#REF!="On Track",C$7&gt;=$J41,C$7&lt;=$J41+$K41-1)</formula>
    </cfRule>
    <cfRule type="expression" dxfId="49" priority="40" stopIfTrue="1">
      <formula>AND(#REF!="Med Risk",C$7&gt;=$J41,C$7&lt;=$J41+$K41-1)</formula>
    </cfRule>
    <cfRule type="expression" dxfId="48" priority="41" stopIfTrue="1">
      <formula>AND(LEN(#REF!)=0,C$7&gt;=$J41,C$7&lt;=$J41+$K41-1)</formula>
    </cfRule>
  </conditionalFormatting>
  <conditionalFormatting sqref="F41">
    <cfRule type="expression" dxfId="47" priority="27">
      <formula>AND(TODAY()&gt;=D$7,TODAY()&lt;E$7)</formula>
    </cfRule>
  </conditionalFormatting>
  <conditionalFormatting sqref="F41">
    <cfRule type="expression" dxfId="46" priority="29" stopIfTrue="1">
      <formula>AND(#REF!="Low Risk",D$7&gt;=$J41,D$7&lt;=$J41+$K41-1)</formula>
    </cfRule>
    <cfRule type="expression" dxfId="45" priority="30" stopIfTrue="1">
      <formula>AND(#REF!="High Risk",D$7&gt;=$J41,D$7&lt;=$J41+$K41-1)</formula>
    </cfRule>
    <cfRule type="expression" dxfId="44" priority="31" stopIfTrue="1">
      <formula>AND(#REF!="On Track",D$7&gt;=$J41,D$7&lt;=$J41+$K41-1)</formula>
    </cfRule>
    <cfRule type="expression" dxfId="43" priority="32" stopIfTrue="1">
      <formula>AND(#REF!="Med Risk",D$7&gt;=$J41,D$7&lt;=$J41+$K41-1)</formula>
    </cfRule>
    <cfRule type="expression" dxfId="42" priority="33" stopIfTrue="1">
      <formula>AND(LEN(#REF!)=0,D$7&gt;=$J41,D$7&lt;=$J41+$K41-1)</formula>
    </cfRule>
  </conditionalFormatting>
  <conditionalFormatting sqref="E42">
    <cfRule type="expression" dxfId="41" priority="21">
      <formula>AND(TODAY()&gt;=E$7,TODAY()&lt;F$7)</formula>
    </cfRule>
  </conditionalFormatting>
  <conditionalFormatting sqref="E42">
    <cfRule type="expression" dxfId="40" priority="22" stopIfTrue="1">
      <formula>AND(#REF!="Low Risk",E$7&gt;=$J42,E$7&lt;=$J42+$K42-1)</formula>
    </cfRule>
    <cfRule type="expression" dxfId="39" priority="23" stopIfTrue="1">
      <formula>AND(#REF!="High Risk",E$7&gt;=$J42,E$7&lt;=$J42+$K42-1)</formula>
    </cfRule>
    <cfRule type="expression" dxfId="38" priority="24" stopIfTrue="1">
      <formula>AND(#REF!="On Track",E$7&gt;=$J42,E$7&lt;=$J42+$K42-1)</formula>
    </cfRule>
    <cfRule type="expression" dxfId="37" priority="25" stopIfTrue="1">
      <formula>AND(#REF!="Med Risk",E$7&gt;=$J42,E$7&lt;=$J42+$K42-1)</formula>
    </cfRule>
    <cfRule type="expression" dxfId="36" priority="26" stopIfTrue="1">
      <formula>AND(LEN(#REF!)=0,E$7&gt;=$J42,E$7&lt;=$J42+$K42-1)</formula>
    </cfRule>
  </conditionalFormatting>
  <conditionalFormatting sqref="G38">
    <cfRule type="expression" dxfId="35" priority="15" stopIfTrue="1">
      <formula>AND(#REF!="Low Risk",G$7&gt;=$J38,G$7&lt;=$J38+$K38-1)</formula>
    </cfRule>
    <cfRule type="expression" dxfId="34" priority="16" stopIfTrue="1">
      <formula>AND(#REF!="High Risk",G$7&gt;=$J38,G$7&lt;=$J38+$K38-1)</formula>
    </cfRule>
    <cfRule type="expression" dxfId="33" priority="17" stopIfTrue="1">
      <formula>AND(#REF!="On Track",G$7&gt;=$J38,G$7&lt;=$J38+$K38-1)</formula>
    </cfRule>
    <cfRule type="expression" dxfId="32" priority="18" stopIfTrue="1">
      <formula>AND(#REF!="Med Risk",G$7&gt;=$J38,G$7&lt;=$J38+$K38-1)</formula>
    </cfRule>
    <cfRule type="expression" dxfId="31" priority="19" stopIfTrue="1">
      <formula>AND(LEN(#REF!)=0,G$7&gt;=$J38,G$7&lt;=$J38+$K38-1)</formula>
    </cfRule>
  </conditionalFormatting>
  <conditionalFormatting sqref="G38">
    <cfRule type="expression" dxfId="30" priority="13">
      <formula>AND(TODAY()&gt;=G$7,TODAY()&lt;H$7)</formula>
    </cfRule>
  </conditionalFormatting>
  <conditionalFormatting sqref="AI44:AJ44">
    <cfRule type="expression" dxfId="29" priority="2" stopIfTrue="1">
      <formula>AND(#REF!="Low Risk",AA$7&gt;=#REF!,AA$7&lt;=#REF!+#REF!-1)</formula>
    </cfRule>
    <cfRule type="expression" dxfId="28" priority="3" stopIfTrue="1">
      <formula>AND(#REF!="High Risk",AA$7&gt;=#REF!,AA$7&lt;=#REF!+#REF!-1)</formula>
    </cfRule>
    <cfRule type="expression" dxfId="27" priority="4" stopIfTrue="1">
      <formula>AND(#REF!="On Track",AA$7&gt;=#REF!,AA$7&lt;=#REF!+#REF!-1)</formula>
    </cfRule>
    <cfRule type="expression" dxfId="26" priority="5" stopIfTrue="1">
      <formula>AND(#REF!="Med Risk",AA$7&gt;=#REF!,AA$7&lt;=#REF!+#REF!-1)</formula>
    </cfRule>
    <cfRule type="expression" dxfId="25" priority="6" stopIfTrue="1">
      <formula>AND(LEN(#REF!)=0,AA$7&gt;=#REF!,AA$7&lt;=#REF!+#REF!-1)</formula>
    </cfRule>
  </conditionalFormatting>
  <conditionalFormatting sqref="M45:P45 AM45:BP45 E45:F45">
    <cfRule type="expression" dxfId="24" priority="3015" stopIfTrue="1">
      <formula>AND(#REF!="Low Risk",E$7&gt;=$J44,E$7&lt;=$J44+$K44-1)</formula>
    </cfRule>
    <cfRule type="expression" dxfId="23" priority="3016" stopIfTrue="1">
      <formula>AND(#REF!="High Risk",E$7&gt;=$J44,E$7&lt;=$J44+$K44-1)</formula>
    </cfRule>
    <cfRule type="expression" dxfId="22" priority="3017" stopIfTrue="1">
      <formula>AND(#REF!="On Track",E$7&gt;=$J44,E$7&lt;=$J44+$K44-1)</formula>
    </cfRule>
    <cfRule type="expression" dxfId="21" priority="3018" stopIfTrue="1">
      <formula>AND(#REF!="Med Risk",E$7&gt;=$J44,E$7&lt;=$J44+$K44-1)</formula>
    </cfRule>
    <cfRule type="expression" dxfId="20" priority="3019" stopIfTrue="1">
      <formula>AND(LEN(#REF!)=0,E$7&gt;=$J44,E$7&lt;=$J44+$K44-1)</formula>
    </cfRule>
  </conditionalFormatting>
  <conditionalFormatting sqref="M44:P44 AM44:BP44 E44:G44">
    <cfRule type="expression" dxfId="19" priority="3020" stopIfTrue="1">
      <formula>AND(#REF!="Low Risk",E$7&gt;=#REF!,E$7&lt;=#REF!+#REF!-1)</formula>
    </cfRule>
    <cfRule type="expression" dxfId="18" priority="3021" stopIfTrue="1">
      <formula>AND(#REF!="High Risk",E$7&gt;=#REF!,E$7&lt;=#REF!+#REF!-1)</formula>
    </cfRule>
    <cfRule type="expression" dxfId="17" priority="3022" stopIfTrue="1">
      <formula>AND(#REF!="On Track",E$7&gt;=#REF!,E$7&lt;=#REF!+#REF!-1)</formula>
    </cfRule>
    <cfRule type="expression" dxfId="16" priority="3023" stopIfTrue="1">
      <formula>AND(#REF!="Med Risk",E$7&gt;=#REF!,E$7&lt;=#REF!+#REF!-1)</formula>
    </cfRule>
    <cfRule type="expression" dxfId="15" priority="3024" stopIfTrue="1">
      <formula>AND(LEN(#REF!)=0,E$7&gt;=#REF!,E$7&lt;=#REF!+#REF!-1)</formula>
    </cfRule>
  </conditionalFormatting>
  <conditionalFormatting sqref="Q45:AL45">
    <cfRule type="expression" dxfId="14" priority="3345" stopIfTrue="1">
      <formula>AND(#REF!="Low Risk",M$7&gt;=$J44,M$7&lt;=$J44+$K44-1)</formula>
    </cfRule>
    <cfRule type="expression" dxfId="13" priority="3346" stopIfTrue="1">
      <formula>AND(#REF!="High Risk",M$7&gt;=$J44,M$7&lt;=$J44+$K44-1)</formula>
    </cfRule>
    <cfRule type="expression" dxfId="12" priority="3347" stopIfTrue="1">
      <formula>AND(#REF!="On Track",M$7&gt;=$J44,M$7&lt;=$J44+$K44-1)</formula>
    </cfRule>
    <cfRule type="expression" dxfId="11" priority="3348" stopIfTrue="1">
      <formula>AND(#REF!="Med Risk",M$7&gt;=$J44,M$7&lt;=$J44+$K44-1)</formula>
    </cfRule>
    <cfRule type="expression" dxfId="10" priority="3349" stopIfTrue="1">
      <formula>AND(LEN(#REF!)=0,M$7&gt;=$J44,M$7&lt;=$J44+$K44-1)</formula>
    </cfRule>
  </conditionalFormatting>
  <conditionalFormatting sqref="Q44:AL44">
    <cfRule type="expression" dxfId="9" priority="3350" stopIfTrue="1">
      <formula>AND(#REF!="Low Risk",M$7&gt;=#REF!,M$7&lt;=#REF!+#REF!-1)</formula>
    </cfRule>
    <cfRule type="expression" dxfId="8" priority="3351" stopIfTrue="1">
      <formula>AND(#REF!="High Risk",M$7&gt;=#REF!,M$7&lt;=#REF!+#REF!-1)</formula>
    </cfRule>
    <cfRule type="expression" dxfId="7" priority="3352" stopIfTrue="1">
      <formula>AND(#REF!="On Track",M$7&gt;=#REF!,M$7&lt;=#REF!+#REF!-1)</formula>
    </cfRule>
    <cfRule type="expression" dxfId="6" priority="3353" stopIfTrue="1">
      <formula>AND(#REF!="Med Risk",M$7&gt;=#REF!,M$7&lt;=#REF!+#REF!-1)</formula>
    </cfRule>
    <cfRule type="expression" dxfId="5" priority="3354" stopIfTrue="1">
      <formula>AND(LEN(#REF!)=0,M$7&gt;=#REF!,M$7&lt;=#REF!+#REF!-1)</formula>
    </cfRule>
  </conditionalFormatting>
  <conditionalFormatting sqref="U65:X65">
    <cfRule type="expression" dxfId="4" priority="3894" stopIfTrue="1">
      <formula>AND(#REF!="Low Risk",Q$7&gt;=#REF!,Q$7&lt;=#REF!+#REF!-1)</formula>
    </cfRule>
    <cfRule type="expression" dxfId="3" priority="3895" stopIfTrue="1">
      <formula>AND(#REF!="High Risk",Q$7&gt;=#REF!,Q$7&lt;=#REF!+#REF!-1)</formula>
    </cfRule>
    <cfRule type="expression" dxfId="2" priority="3896" stopIfTrue="1">
      <formula>AND(#REF!="On Track",Q$7&gt;=#REF!,Q$7&lt;=#REF!+#REF!-1)</formula>
    </cfRule>
    <cfRule type="expression" dxfId="1" priority="3897" stopIfTrue="1">
      <formula>AND(#REF!="Med Risk",Q$7&gt;=#REF!,Q$7&lt;=#REF!+#REF!-1)</formula>
    </cfRule>
    <cfRule type="expression" dxfId="0" priority="3898" stopIfTrue="1">
      <formula>AND(LEN(#REF!)=0,Q$7&gt;=#REF!,Q$7&lt;=#REF!+#REF!-1)</formula>
    </cfRule>
  </conditionalFormatting>
  <dataValidations count="8">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FC4F20CA-798B-4082-9B0E-45AA65437F22}"/>
    <dataValidation allowBlank="1" showInputMessage="1" showErrorMessage="1" prompt="Enter Company Name in cell B4._x000a_A legend is in cells I4 through AC4.  The Legend label is in cell G4." sqref="A4" xr:uid="{6FF08DD8-4894-42E0-864F-1A7C8750F53D}"/>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4602761B-ADE6-4424-87F8-29D72D3428B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53010722-9825-47F8-B71E-B75B47A9B7BD}"/>
    <dataValidation allowBlank="1" showInputMessage="1" showErrorMessage="1" prompt="Cells I9 through BL9 contain the day number of the month for the Month represented in the cell block above each date cell and are auto calculated._x000a_Do not modify these cells._x000a_" sqref="A7" xr:uid="{F9232E31-1EC2-44F2-8264-323D5A3D55BA}"/>
    <dataValidation allowBlank="1" showInputMessage="1" showErrorMessage="1" prompt="A scrollbar is in cells I8 through BL8. _x000a_To jump forward or backward in the timeline, enter a value of 0 or higher in cell C7._x000a_A value of 0 takes you to the beginning of the chart." sqref="A8" xr:uid="{F9929FDC-4A2C-4CFF-AB8C-F13FC7A5849F}"/>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C9BBBEA3-9F18-4C2B-B1DF-213A1E46A67F}"/>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A13 A67" xr:uid="{FB0C30C1-8F4B-4A5E-95D2-5DC29BCC863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457" r:id="rId4" name="Scroll Bar 1">
              <controlPr defaultSize="0" autoPict="0" altText="Scroll bar to scroll through the Ghantt project timeline.">
                <anchor moveWithCells="1">
                  <from>
                    <xdr:col>12</xdr:col>
                    <xdr:colOff>31750</xdr:colOff>
                    <xdr:row>7</xdr:row>
                    <xdr:rowOff>63500</xdr:rowOff>
                  </from>
                  <to>
                    <xdr:col>68</xdr:col>
                    <xdr:colOff>184150</xdr:colOff>
                    <xdr:row>7</xdr:row>
                    <xdr:rowOff>241300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7F9DC15-6959-4F2F-A37B-8EED7FB8B66C}">
            <x14:dataBar minLength="0" maxLength="100" gradient="0">
              <x14:cfvo type="num">
                <xm:f>0</xm:f>
              </x14:cfvo>
              <x14:cfvo type="num">
                <xm:f>1</xm:f>
              </x14:cfvo>
              <x14:negativeFillColor rgb="FFFF0000"/>
              <x14:axisColor rgb="FF000000"/>
            </x14:dataBar>
          </x14:cfRule>
          <xm:sqref>I9:I11</xm:sqref>
        </x14:conditionalFormatting>
        <x14:conditionalFormatting xmlns:xm="http://schemas.microsoft.com/office/excel/2006/main">
          <x14:cfRule type="dataBar" id="{DAFC241F-4437-4B8F-9F0B-62655003A6CE}">
            <x14:dataBar minLength="0" maxLength="100" gradient="0">
              <x14:cfvo type="num">
                <xm:f>0</xm:f>
              </x14:cfvo>
              <x14:cfvo type="num">
                <xm:f>1</xm:f>
              </x14:cfvo>
              <x14:negativeFillColor rgb="FFFF0000"/>
              <x14:axisColor rgb="FF000000"/>
            </x14:dataBar>
          </x14:cfRule>
          <xm:sqref>I67</xm:sqref>
        </x14:conditionalFormatting>
        <x14:conditionalFormatting xmlns:xm="http://schemas.microsoft.com/office/excel/2006/main">
          <x14:cfRule type="iconSet" priority="1856" id="{25C4C037-5E75-4F02-93A3-FA52EA012685}">
            <x14:iconSet iconSet="3Stars" showValue="0" custom="1">
              <x14:cfvo type="percent">
                <xm:f>0</xm:f>
              </x14:cfvo>
              <x14:cfvo type="num">
                <xm:f>1</xm:f>
              </x14:cfvo>
              <x14:cfvo type="num">
                <xm:f>2</xm:f>
              </x14:cfvo>
              <x14:cfIcon iconSet="NoIcons" iconId="0"/>
              <x14:cfIcon iconSet="3Flags" iconId="1"/>
              <x14:cfIcon iconSet="3Signs" iconId="0"/>
            </x14:iconSet>
          </x14:cfRule>
          <xm:sqref>Q49:AD50 U35:X35 Q51:BP54 Q55:T57 AG47:AJ48 U36:AH48</xm:sqref>
        </x14:conditionalFormatting>
        <x14:conditionalFormatting xmlns:xm="http://schemas.microsoft.com/office/excel/2006/main">
          <x14:cfRule type="iconSet" priority="1351" id="{E38497B9-1379-47B2-AA93-0B20CE4100CE}">
            <x14:iconSet iconSet="3Stars" showValue="0" custom="1">
              <x14:cfvo type="percent">
                <xm:f>0</xm:f>
              </x14:cfvo>
              <x14:cfvo type="num">
                <xm:f>1</xm:f>
              </x14:cfvo>
              <x14:cfvo type="num">
                <xm:f>2</xm:f>
              </x14:cfvo>
              <x14:cfIcon iconSet="NoIcons" iconId="0"/>
              <x14:cfIcon iconSet="3Flags" iconId="1"/>
              <x14:cfIcon iconSet="3Signs" iconId="0"/>
            </x14:iconSet>
          </x14:cfRule>
          <xm:sqref>D13 E12</xm:sqref>
        </x14:conditionalFormatting>
        <x14:conditionalFormatting xmlns:xm="http://schemas.microsoft.com/office/excel/2006/main">
          <x14:cfRule type="iconSet" priority="1337" id="{DA1420D7-F3E0-428C-B19C-06EA383EA628}">
            <x14:iconSet iconSet="3Stars" showValue="0" custom="1">
              <x14:cfvo type="percent">
                <xm:f>0</xm:f>
              </x14:cfvo>
              <x14:cfvo type="num">
                <xm:f>1</xm:f>
              </x14:cfvo>
              <x14:cfvo type="num">
                <xm:f>2</xm:f>
              </x14:cfvo>
              <x14:cfIcon iconSet="NoIcons" iconId="0"/>
              <x14:cfIcon iconSet="3Flags" iconId="1"/>
              <x14:cfIcon iconSet="3Signs" iconId="0"/>
            </x14:iconSet>
          </x14:cfRule>
          <xm:sqref>E14:E15 D15:E15</xm:sqref>
        </x14:conditionalFormatting>
        <x14:conditionalFormatting xmlns:xm="http://schemas.microsoft.com/office/excel/2006/main">
          <x14:cfRule type="iconSet" priority="1316" id="{14C093AA-AD26-4186-8818-F0B7B79F382C}">
            <x14:iconSet iconSet="3Stars" showValue="0" custom="1">
              <x14:cfvo type="percent">
                <xm:f>0</xm:f>
              </x14:cfvo>
              <x14:cfvo type="num">
                <xm:f>1</xm:f>
              </x14:cfvo>
              <x14:cfvo type="num">
                <xm:f>2</xm:f>
              </x14:cfvo>
              <x14:cfIcon iconSet="NoIcons" iconId="0"/>
              <x14:cfIcon iconSet="3Flags" iconId="1"/>
              <x14:cfIcon iconSet="3Signs" iconId="0"/>
            </x14:iconSet>
          </x14:cfRule>
          <xm:sqref>E16</xm:sqref>
        </x14:conditionalFormatting>
        <x14:conditionalFormatting xmlns:xm="http://schemas.microsoft.com/office/excel/2006/main">
          <x14:cfRule type="iconSet" priority="1309" id="{0FA64F75-A8E2-4366-93EC-DE856E11106B}">
            <x14:iconSet iconSet="3Stars" showValue="0" custom="1">
              <x14:cfvo type="percent">
                <xm:f>0</xm:f>
              </x14:cfvo>
              <x14:cfvo type="num">
                <xm:f>1</xm:f>
              </x14:cfvo>
              <x14:cfvo type="num">
                <xm:f>2</xm:f>
              </x14:cfvo>
              <x14:cfIcon iconSet="NoIcons" iconId="0"/>
              <x14:cfIcon iconSet="3Flags" iconId="1"/>
              <x14:cfIcon iconSet="3Signs" iconId="0"/>
            </x14:iconSet>
          </x14:cfRule>
          <xm:sqref>F16</xm:sqref>
        </x14:conditionalFormatting>
        <x14:conditionalFormatting xmlns:xm="http://schemas.microsoft.com/office/excel/2006/main">
          <x14:cfRule type="iconSet" priority="1302" id="{F3605310-47B5-45A8-9840-D0B8D1E79E2B}">
            <x14:iconSet iconSet="3Stars" showValue="0" custom="1">
              <x14:cfvo type="percent">
                <xm:f>0</xm:f>
              </x14:cfvo>
              <x14:cfvo type="num">
                <xm:f>1</xm:f>
              </x14:cfvo>
              <x14:cfvo type="num">
                <xm:f>2</xm:f>
              </x14:cfvo>
              <x14:cfIcon iconSet="NoIcons" iconId="0"/>
              <x14:cfIcon iconSet="3Flags" iconId="1"/>
              <x14:cfIcon iconSet="3Signs" iconId="0"/>
            </x14:iconSet>
          </x14:cfRule>
          <xm:sqref>G17</xm:sqref>
        </x14:conditionalFormatting>
        <x14:conditionalFormatting xmlns:xm="http://schemas.microsoft.com/office/excel/2006/main">
          <x14:cfRule type="iconSet" priority="1295" id="{FA6EBD00-8FC2-4A1E-928C-D24B821D1E4C}">
            <x14:iconSet iconSet="3Stars" showValue="0" custom="1">
              <x14:cfvo type="percent">
                <xm:f>0</xm:f>
              </x14:cfvo>
              <x14:cfvo type="num">
                <xm:f>1</xm:f>
              </x14:cfvo>
              <x14:cfvo type="num">
                <xm:f>2</xm:f>
              </x14:cfvo>
              <x14:cfIcon iconSet="NoIcons" iconId="0"/>
              <x14:cfIcon iconSet="3Flags" iconId="1"/>
              <x14:cfIcon iconSet="3Signs" iconId="0"/>
            </x14:iconSet>
          </x14:cfRule>
          <xm:sqref>F18</xm:sqref>
        </x14:conditionalFormatting>
        <x14:conditionalFormatting xmlns:xm="http://schemas.microsoft.com/office/excel/2006/main">
          <x14:cfRule type="iconSet" priority="1288" id="{01C0C074-5B5C-4C8E-91EB-F61F6D685FB6}">
            <x14:iconSet iconSet="3Stars" showValue="0" custom="1">
              <x14:cfvo type="percent">
                <xm:f>0</xm:f>
              </x14:cfvo>
              <x14:cfvo type="num">
                <xm:f>1</xm:f>
              </x14:cfvo>
              <x14:cfvo type="num">
                <xm:f>2</xm:f>
              </x14:cfvo>
              <x14:cfIcon iconSet="NoIcons" iconId="0"/>
              <x14:cfIcon iconSet="3Flags" iconId="1"/>
              <x14:cfIcon iconSet="3Signs" iconId="0"/>
            </x14:iconSet>
          </x14:cfRule>
          <xm:sqref>G18</xm:sqref>
        </x14:conditionalFormatting>
        <x14:conditionalFormatting xmlns:xm="http://schemas.microsoft.com/office/excel/2006/main">
          <x14:cfRule type="iconSet" priority="1267" id="{D1264ACA-82B2-4963-AFCF-02E791F01A4C}">
            <x14:iconSet iconSet="3Stars" showValue="0" custom="1">
              <x14:cfvo type="percent">
                <xm:f>0</xm:f>
              </x14:cfvo>
              <x14:cfvo type="num">
                <xm:f>1</xm:f>
              </x14:cfvo>
              <x14:cfvo type="num">
                <xm:f>2</xm:f>
              </x14:cfvo>
              <x14:cfIcon iconSet="NoIcons" iconId="0"/>
              <x14:cfIcon iconSet="3Flags" iconId="1"/>
              <x14:cfIcon iconSet="3Signs" iconId="0"/>
            </x14:iconSet>
          </x14:cfRule>
          <xm:sqref>F23:F24</xm:sqref>
        </x14:conditionalFormatting>
        <x14:conditionalFormatting xmlns:xm="http://schemas.microsoft.com/office/excel/2006/main">
          <x14:cfRule type="iconSet" priority="1260" id="{0B4C7828-598A-4489-AADB-98BB8505B0D7}">
            <x14:iconSet iconSet="3Stars" showValue="0" custom="1">
              <x14:cfvo type="percent">
                <xm:f>0</xm:f>
              </x14:cfvo>
              <x14:cfvo type="num">
                <xm:f>1</xm:f>
              </x14:cfvo>
              <x14:cfvo type="num">
                <xm:f>2</xm:f>
              </x14:cfvo>
              <x14:cfIcon iconSet="NoIcons" iconId="0"/>
              <x14:cfIcon iconSet="3Flags" iconId="1"/>
              <x14:cfIcon iconSet="3Signs" iconId="0"/>
            </x14:iconSet>
          </x14:cfRule>
          <xm:sqref>E23:E24</xm:sqref>
        </x14:conditionalFormatting>
        <x14:conditionalFormatting xmlns:xm="http://schemas.microsoft.com/office/excel/2006/main">
          <x14:cfRule type="iconSet" priority="1239" id="{4F5B10F6-6C20-4AFC-9D15-2FB2076B3F17}">
            <x14:iconSet iconSet="3Stars" showValue="0" custom="1">
              <x14:cfvo type="percent">
                <xm:f>0</xm:f>
              </x14:cfvo>
              <x14:cfvo type="num">
                <xm:f>1</xm:f>
              </x14:cfvo>
              <x14:cfvo type="num">
                <xm:f>2</xm:f>
              </x14:cfvo>
              <x14:cfIcon iconSet="NoIcons" iconId="0"/>
              <x14:cfIcon iconSet="3Flags" iconId="1"/>
              <x14:cfIcon iconSet="3Signs" iconId="0"/>
            </x14:iconSet>
          </x14:cfRule>
          <xm:sqref>G26</xm:sqref>
        </x14:conditionalFormatting>
        <x14:conditionalFormatting xmlns:xm="http://schemas.microsoft.com/office/excel/2006/main">
          <x14:cfRule type="iconSet" priority="1232" id="{8FF6F5BD-775A-40F2-9C5D-935980541C2B}">
            <x14:iconSet iconSet="3Stars" showValue="0" custom="1">
              <x14:cfvo type="percent">
                <xm:f>0</xm:f>
              </x14:cfvo>
              <x14:cfvo type="num">
                <xm:f>1</xm:f>
              </x14:cfvo>
              <x14:cfvo type="num">
                <xm:f>2</xm:f>
              </x14:cfvo>
              <x14:cfIcon iconSet="NoIcons" iconId="0"/>
              <x14:cfIcon iconSet="3Flags" iconId="1"/>
              <x14:cfIcon iconSet="3Signs" iconId="0"/>
            </x14:iconSet>
          </x14:cfRule>
          <xm:sqref>D28</xm:sqref>
        </x14:conditionalFormatting>
        <x14:conditionalFormatting xmlns:xm="http://schemas.microsoft.com/office/excel/2006/main">
          <x14:cfRule type="iconSet" priority="1218" id="{BEF615F5-5A5C-479F-86F1-DA043575E685}">
            <x14:iconSet iconSet="3Stars" showValue="0" custom="1">
              <x14:cfvo type="percent">
                <xm:f>0</xm:f>
              </x14:cfvo>
              <x14:cfvo type="num">
                <xm:f>1</xm:f>
              </x14:cfvo>
              <x14:cfvo type="num">
                <xm:f>2</xm:f>
              </x14:cfvo>
              <x14:cfIcon iconSet="NoIcons" iconId="0"/>
              <x14:cfIcon iconSet="3Flags" iconId="1"/>
              <x14:cfIcon iconSet="3Signs" iconId="0"/>
            </x14:iconSet>
          </x14:cfRule>
          <xm:sqref>E30</xm:sqref>
        </x14:conditionalFormatting>
        <x14:conditionalFormatting xmlns:xm="http://schemas.microsoft.com/office/excel/2006/main">
          <x14:cfRule type="iconSet" priority="1197" id="{7DF8FDE3-8819-41F8-8AE5-28D0A73E8FE2}">
            <x14:iconSet iconSet="3Stars" showValue="0" custom="1">
              <x14:cfvo type="percent">
                <xm:f>0</xm:f>
              </x14:cfvo>
              <x14:cfvo type="num">
                <xm:f>1</xm:f>
              </x14:cfvo>
              <x14:cfvo type="num">
                <xm:f>2</xm:f>
              </x14:cfvo>
              <x14:cfIcon iconSet="NoIcons" iconId="0"/>
              <x14:cfIcon iconSet="3Flags" iconId="1"/>
              <x14:cfIcon iconSet="3Signs" iconId="0"/>
            </x14:iconSet>
          </x14:cfRule>
          <xm:sqref>F32</xm:sqref>
        </x14:conditionalFormatting>
        <x14:conditionalFormatting xmlns:xm="http://schemas.microsoft.com/office/excel/2006/main">
          <x14:cfRule type="iconSet" priority="1190" id="{BE83D4DB-6458-41C9-8A18-277AA86D21CB}">
            <x14:iconSet iconSet="3Stars" showValue="0" custom="1">
              <x14:cfvo type="percent">
                <xm:f>0</xm:f>
              </x14:cfvo>
              <x14:cfvo type="num">
                <xm:f>1</xm:f>
              </x14:cfvo>
              <x14:cfvo type="num">
                <xm:f>2</xm:f>
              </x14:cfvo>
              <x14:cfIcon iconSet="NoIcons" iconId="0"/>
              <x14:cfIcon iconSet="3Flags" iconId="1"/>
              <x14:cfIcon iconSet="3Signs" iconId="0"/>
            </x14:iconSet>
          </x14:cfRule>
          <xm:sqref>G32</xm:sqref>
        </x14:conditionalFormatting>
        <x14:conditionalFormatting xmlns:xm="http://schemas.microsoft.com/office/excel/2006/main">
          <x14:cfRule type="iconSet" priority="1127" id="{B2A9424B-DC1D-4137-8AAC-7EEF99FA1E30}">
            <x14:iconSet iconSet="3Stars" showValue="0" custom="1">
              <x14:cfvo type="percent">
                <xm:f>0</xm:f>
              </x14:cfvo>
              <x14:cfvo type="num">
                <xm:f>1</xm:f>
              </x14:cfvo>
              <x14:cfvo type="num">
                <xm:f>2</xm:f>
              </x14:cfvo>
              <x14:cfIcon iconSet="NoIcons" iconId="0"/>
              <x14:cfIcon iconSet="3Flags" iconId="1"/>
              <x14:cfIcon iconSet="3Signs" iconId="0"/>
            </x14:iconSet>
          </x14:cfRule>
          <xm:sqref>G41</xm:sqref>
        </x14:conditionalFormatting>
        <x14:conditionalFormatting xmlns:xm="http://schemas.microsoft.com/office/excel/2006/main">
          <x14:cfRule type="iconSet" priority="1120" id="{2434EB65-49FA-44D8-9A45-CA6952D868E9}">
            <x14:iconSet iconSet="3Stars" showValue="0" custom="1">
              <x14:cfvo type="percent">
                <xm:f>0</xm:f>
              </x14:cfvo>
              <x14:cfvo type="num">
                <xm:f>1</xm:f>
              </x14:cfvo>
              <x14:cfvo type="num">
                <xm:f>2</xm:f>
              </x14:cfvo>
              <x14:cfIcon iconSet="NoIcons" iconId="0"/>
              <x14:cfIcon iconSet="3Flags" iconId="1"/>
              <x14:cfIcon iconSet="3Signs" iconId="0"/>
            </x14:iconSet>
          </x14:cfRule>
          <xm:sqref>F41</xm:sqref>
        </x14:conditionalFormatting>
        <x14:conditionalFormatting xmlns:xm="http://schemas.microsoft.com/office/excel/2006/main">
          <x14:cfRule type="iconSet" priority="910" id="{EF7841A4-8FE8-4DF3-85E6-694172A24243}">
            <x14:iconSet iconSet="3Stars" showValue="0" custom="1">
              <x14:cfvo type="percent">
                <xm:f>0</xm:f>
              </x14:cfvo>
              <x14:cfvo type="num">
                <xm:f>1</xm:f>
              </x14:cfvo>
              <x14:cfvo type="num">
                <xm:f>2</xm:f>
              </x14:cfvo>
              <x14:cfIcon iconSet="NoIcons" iconId="0"/>
              <x14:cfIcon iconSet="3Flags" iconId="1"/>
              <x14:cfIcon iconSet="3Signs" iconId="0"/>
            </x14:iconSet>
          </x14:cfRule>
          <xm:sqref>D54</xm:sqref>
        </x14:conditionalFormatting>
        <x14:conditionalFormatting xmlns:xm="http://schemas.microsoft.com/office/excel/2006/main">
          <x14:cfRule type="iconSet" priority="903" id="{EC7F9B12-3A40-44BB-B5C4-FBBB76FF91DE}">
            <x14:iconSet iconSet="3Stars" showValue="0" custom="1">
              <x14:cfvo type="percent">
                <xm:f>0</xm:f>
              </x14:cfvo>
              <x14:cfvo type="num">
                <xm:f>1</xm:f>
              </x14:cfvo>
              <x14:cfvo type="num">
                <xm:f>2</xm:f>
              </x14:cfvo>
              <x14:cfIcon iconSet="NoIcons" iconId="0"/>
              <x14:cfIcon iconSet="3Flags" iconId="1"/>
              <x14:cfIcon iconSet="3Signs" iconId="0"/>
            </x14:iconSet>
          </x14:cfRule>
          <xm:sqref>E54</xm:sqref>
        </x14:conditionalFormatting>
        <x14:conditionalFormatting xmlns:xm="http://schemas.microsoft.com/office/excel/2006/main">
          <x14:cfRule type="iconSet" priority="882" id="{4D240A2C-9077-4D5D-85F0-32E4AC07099C}">
            <x14:iconSet iconSet="3Stars" showValue="0" custom="1">
              <x14:cfvo type="percent">
                <xm:f>0</xm:f>
              </x14:cfvo>
              <x14:cfvo type="num">
                <xm:f>1</xm:f>
              </x14:cfvo>
              <x14:cfvo type="num">
                <xm:f>2</xm:f>
              </x14:cfvo>
              <x14:cfIcon iconSet="NoIcons" iconId="0"/>
              <x14:cfIcon iconSet="3Flags" iconId="1"/>
              <x14:cfIcon iconSet="3Signs" iconId="0"/>
            </x14:iconSet>
          </x14:cfRule>
          <xm:sqref>F19:G21</xm:sqref>
        </x14:conditionalFormatting>
        <x14:conditionalFormatting xmlns:xm="http://schemas.microsoft.com/office/excel/2006/main">
          <x14:cfRule type="iconSet" priority="863" id="{3FCAEB82-5901-49C0-8091-D9FD07968AFB}">
            <x14:iconSet iconSet="3Stars" showValue="0" custom="1">
              <x14:cfvo type="percent">
                <xm:f>0</xm:f>
              </x14:cfvo>
              <x14:cfvo type="num">
                <xm:f>1</xm:f>
              </x14:cfvo>
              <x14:cfvo type="num">
                <xm:f>2</xm:f>
              </x14:cfvo>
              <x14:cfIcon iconSet="NoIcons" iconId="0"/>
              <x14:cfIcon iconSet="3Flags" iconId="1"/>
              <x14:cfIcon iconSet="3Signs" iconId="0"/>
            </x14:iconSet>
          </x14:cfRule>
          <xm:sqref>F22</xm:sqref>
        </x14:conditionalFormatting>
        <x14:conditionalFormatting xmlns:xm="http://schemas.microsoft.com/office/excel/2006/main">
          <x14:cfRule type="iconSet" priority="861" id="{B236D57F-3FB8-4784-AAC6-6FB719BD4CA0}">
            <x14:iconSet iconSet="3Stars" showValue="0" custom="1">
              <x14:cfvo type="percent">
                <xm:f>0</xm:f>
              </x14:cfvo>
              <x14:cfvo type="num">
                <xm:f>1</xm:f>
              </x14:cfvo>
              <x14:cfvo type="num">
                <xm:f>2</xm:f>
              </x14:cfvo>
              <x14:cfIcon iconSet="NoIcons" iconId="0"/>
              <x14:cfIcon iconSet="3Flags" iconId="1"/>
              <x14:cfIcon iconSet="3Signs" iconId="0"/>
            </x14:iconSet>
          </x14:cfRule>
          <xm:sqref>E23:E24</xm:sqref>
        </x14:conditionalFormatting>
        <x14:conditionalFormatting xmlns:xm="http://schemas.microsoft.com/office/excel/2006/main">
          <x14:cfRule type="iconSet" priority="859" id="{DD5619AE-9002-4123-8255-9550DCB4E087}">
            <x14:iconSet iconSet="3Stars" showValue="0" custom="1">
              <x14:cfvo type="percent">
                <xm:f>0</xm:f>
              </x14:cfvo>
              <x14:cfvo type="num">
                <xm:f>1</xm:f>
              </x14:cfvo>
              <x14:cfvo type="num">
                <xm:f>2</xm:f>
              </x14:cfvo>
              <x14:cfIcon iconSet="NoIcons" iconId="0"/>
              <x14:cfIcon iconSet="3Flags" iconId="1"/>
              <x14:cfIcon iconSet="3Signs" iconId="0"/>
            </x14:iconSet>
          </x14:cfRule>
          <xm:sqref>F23:F24</xm:sqref>
        </x14:conditionalFormatting>
        <x14:conditionalFormatting xmlns:xm="http://schemas.microsoft.com/office/excel/2006/main">
          <x14:cfRule type="iconSet" priority="845" id="{CB5B9C1A-C850-4B1F-983D-63B7812212F3}">
            <x14:iconSet iconSet="3Stars" showValue="0" custom="1">
              <x14:cfvo type="percent">
                <xm:f>0</xm:f>
              </x14:cfvo>
              <x14:cfvo type="num">
                <xm:f>1</xm:f>
              </x14:cfvo>
              <x14:cfvo type="num">
                <xm:f>2</xm:f>
              </x14:cfvo>
              <x14:cfIcon iconSet="NoIcons" iconId="0"/>
              <x14:cfIcon iconSet="3Flags" iconId="1"/>
              <x14:cfIcon iconSet="3Signs" iconId="0"/>
            </x14:iconSet>
          </x14:cfRule>
          <xm:sqref>F25</xm:sqref>
        </x14:conditionalFormatting>
        <x14:conditionalFormatting xmlns:xm="http://schemas.microsoft.com/office/excel/2006/main">
          <x14:cfRule type="iconSet" priority="843" id="{10A6DD04-80AA-43FD-8ABA-9BCCA19B341E}">
            <x14:iconSet iconSet="3Stars" showValue="0" custom="1">
              <x14:cfvo type="percent">
                <xm:f>0</xm:f>
              </x14:cfvo>
              <x14:cfvo type="num">
                <xm:f>1</xm:f>
              </x14:cfvo>
              <x14:cfvo type="num">
                <xm:f>2</xm:f>
              </x14:cfvo>
              <x14:cfIcon iconSet="NoIcons" iconId="0"/>
              <x14:cfIcon iconSet="3Flags" iconId="1"/>
              <x14:cfIcon iconSet="3Signs" iconId="0"/>
            </x14:iconSet>
          </x14:cfRule>
          <xm:sqref>G26</xm:sqref>
        </x14:conditionalFormatting>
        <x14:conditionalFormatting xmlns:xm="http://schemas.microsoft.com/office/excel/2006/main">
          <x14:cfRule type="iconSet" priority="841" id="{D0E75500-8779-4B38-9559-71FB4C3E709A}">
            <x14:iconSet iconSet="3Stars" showValue="0" custom="1">
              <x14:cfvo type="percent">
                <xm:f>0</xm:f>
              </x14:cfvo>
              <x14:cfvo type="num">
                <xm:f>1</xm:f>
              </x14:cfvo>
              <x14:cfvo type="num">
                <xm:f>2</xm:f>
              </x14:cfvo>
              <x14:cfIcon iconSet="NoIcons" iconId="0"/>
              <x14:cfIcon iconSet="3Flags" iconId="1"/>
              <x14:cfIcon iconSet="3Signs" iconId="0"/>
            </x14:iconSet>
          </x14:cfRule>
          <xm:sqref>G26</xm:sqref>
        </x14:conditionalFormatting>
        <x14:conditionalFormatting xmlns:xm="http://schemas.microsoft.com/office/excel/2006/main">
          <x14:cfRule type="iconSet" priority="839" id="{E9520EC1-A286-47E5-93EC-AA80090DF41C}">
            <x14:iconSet iconSet="3Stars" showValue="0" custom="1">
              <x14:cfvo type="percent">
                <xm:f>0</xm:f>
              </x14:cfvo>
              <x14:cfvo type="num">
                <xm:f>1</xm:f>
              </x14:cfvo>
              <x14:cfvo type="num">
                <xm:f>2</xm:f>
              </x14:cfvo>
              <x14:cfIcon iconSet="NoIcons" iconId="0"/>
              <x14:cfIcon iconSet="3Flags" iconId="1"/>
              <x14:cfIcon iconSet="3Signs" iconId="0"/>
            </x14:iconSet>
          </x14:cfRule>
          <xm:sqref>D28</xm:sqref>
        </x14:conditionalFormatting>
        <x14:conditionalFormatting xmlns:xm="http://schemas.microsoft.com/office/excel/2006/main">
          <x14:cfRule type="iconSet" priority="837" id="{A9CD3016-3456-44FF-A87E-EC30B39D6D68}">
            <x14:iconSet iconSet="3Stars" showValue="0" custom="1">
              <x14:cfvo type="percent">
                <xm:f>0</xm:f>
              </x14:cfvo>
              <x14:cfvo type="num">
                <xm:f>1</xm:f>
              </x14:cfvo>
              <x14:cfvo type="num">
                <xm:f>2</xm:f>
              </x14:cfvo>
              <x14:cfIcon iconSet="NoIcons" iconId="0"/>
              <x14:cfIcon iconSet="3Flags" iconId="1"/>
              <x14:cfIcon iconSet="3Signs" iconId="0"/>
            </x14:iconSet>
          </x14:cfRule>
          <xm:sqref>D28</xm:sqref>
        </x14:conditionalFormatting>
        <x14:conditionalFormatting xmlns:xm="http://schemas.microsoft.com/office/excel/2006/main">
          <x14:cfRule type="iconSet" priority="835" id="{2D803240-A9F9-44EF-90C1-84F0E9BF7BF5}">
            <x14:iconSet iconSet="3Stars" showValue="0" custom="1">
              <x14:cfvo type="percent">
                <xm:f>0</xm:f>
              </x14:cfvo>
              <x14:cfvo type="num">
                <xm:f>1</xm:f>
              </x14:cfvo>
              <x14:cfvo type="num">
                <xm:f>2</xm:f>
              </x14:cfvo>
              <x14:cfIcon iconSet="NoIcons" iconId="0"/>
              <x14:cfIcon iconSet="3Flags" iconId="1"/>
              <x14:cfIcon iconSet="3Signs" iconId="0"/>
            </x14:iconSet>
          </x14:cfRule>
          <xm:sqref>D28</xm:sqref>
        </x14:conditionalFormatting>
        <x14:conditionalFormatting xmlns:xm="http://schemas.microsoft.com/office/excel/2006/main">
          <x14:cfRule type="iconSet" priority="828" id="{57751826-3150-42FB-8DFF-EFE57F668076}">
            <x14:iconSet iconSet="3Stars" showValue="0" custom="1">
              <x14:cfvo type="percent">
                <xm:f>0</xm:f>
              </x14:cfvo>
              <x14:cfvo type="num">
                <xm:f>1</xm:f>
              </x14:cfvo>
              <x14:cfvo type="num">
                <xm:f>2</xm:f>
              </x14:cfvo>
              <x14:cfIcon iconSet="NoIcons" iconId="0"/>
              <x14:cfIcon iconSet="3Flags" iconId="1"/>
              <x14:cfIcon iconSet="3Signs" iconId="0"/>
            </x14:iconSet>
          </x14:cfRule>
          <xm:sqref>D29</xm:sqref>
        </x14:conditionalFormatting>
        <x14:conditionalFormatting xmlns:xm="http://schemas.microsoft.com/office/excel/2006/main">
          <x14:cfRule type="iconSet" priority="821" id="{D4A5409F-FAA9-43A6-B90D-09E32397C24C}">
            <x14:iconSet iconSet="3Stars" showValue="0" custom="1">
              <x14:cfvo type="percent">
                <xm:f>0</xm:f>
              </x14:cfvo>
              <x14:cfvo type="num">
                <xm:f>1</xm:f>
              </x14:cfvo>
              <x14:cfvo type="num">
                <xm:f>2</xm:f>
              </x14:cfvo>
              <x14:cfIcon iconSet="NoIcons" iconId="0"/>
              <x14:cfIcon iconSet="3Flags" iconId="1"/>
              <x14:cfIcon iconSet="3Signs" iconId="0"/>
            </x14:iconSet>
          </x14:cfRule>
          <xm:sqref>E31:F31</xm:sqref>
        </x14:conditionalFormatting>
        <x14:conditionalFormatting xmlns:xm="http://schemas.microsoft.com/office/excel/2006/main">
          <x14:cfRule type="iconSet" priority="814" id="{612CB90D-0707-4F82-86F6-CAC772107D95}">
            <x14:iconSet iconSet="3Stars" showValue="0" custom="1">
              <x14:cfvo type="percent">
                <xm:f>0</xm:f>
              </x14:cfvo>
              <x14:cfvo type="num">
                <xm:f>1</xm:f>
              </x14:cfvo>
              <x14:cfvo type="num">
                <xm:f>2</xm:f>
              </x14:cfvo>
              <x14:cfIcon iconSet="NoIcons" iconId="0"/>
              <x14:cfIcon iconSet="3Flags" iconId="1"/>
              <x14:cfIcon iconSet="3Signs" iconId="0"/>
            </x14:iconSet>
          </x14:cfRule>
          <xm:sqref>G33</xm:sqref>
        </x14:conditionalFormatting>
        <x14:conditionalFormatting xmlns:xm="http://schemas.microsoft.com/office/excel/2006/main">
          <x14:cfRule type="iconSet" priority="812" id="{4A78D94A-D766-4248-AF99-1E10D5563FB7}">
            <x14:iconSet iconSet="3Stars" showValue="0" custom="1">
              <x14:cfvo type="percent">
                <xm:f>0</xm:f>
              </x14:cfvo>
              <x14:cfvo type="num">
                <xm:f>1</xm:f>
              </x14:cfvo>
              <x14:cfvo type="num">
                <xm:f>2</xm:f>
              </x14:cfvo>
              <x14:cfIcon iconSet="NoIcons" iconId="0"/>
              <x14:cfIcon iconSet="3Flags" iconId="1"/>
              <x14:cfIcon iconSet="3Signs" iconId="0"/>
            </x14:iconSet>
          </x14:cfRule>
          <xm:sqref>E30</xm:sqref>
        </x14:conditionalFormatting>
        <x14:conditionalFormatting xmlns:xm="http://schemas.microsoft.com/office/excel/2006/main">
          <x14:cfRule type="iconSet" priority="810" id="{1012323D-19BE-4266-A11D-541635D61EA8}">
            <x14:iconSet iconSet="3Stars" showValue="0" custom="1">
              <x14:cfvo type="percent">
                <xm:f>0</xm:f>
              </x14:cfvo>
              <x14:cfvo type="num">
                <xm:f>1</xm:f>
              </x14:cfvo>
              <x14:cfvo type="num">
                <xm:f>2</xm:f>
              </x14:cfvo>
              <x14:cfIcon iconSet="NoIcons" iconId="0"/>
              <x14:cfIcon iconSet="3Flags" iconId="1"/>
              <x14:cfIcon iconSet="3Signs" iconId="0"/>
            </x14:iconSet>
          </x14:cfRule>
          <xm:sqref>E30</xm:sqref>
        </x14:conditionalFormatting>
        <x14:conditionalFormatting xmlns:xm="http://schemas.microsoft.com/office/excel/2006/main">
          <x14:cfRule type="iconSet" priority="808" id="{4570E59E-9F20-4595-B9D3-866B21D7C7AE}">
            <x14:iconSet iconSet="3Stars" showValue="0" custom="1">
              <x14:cfvo type="percent">
                <xm:f>0</xm:f>
              </x14:cfvo>
              <x14:cfvo type="num">
                <xm:f>1</xm:f>
              </x14:cfvo>
              <x14:cfvo type="num">
                <xm:f>2</xm:f>
              </x14:cfvo>
              <x14:cfIcon iconSet="NoIcons" iconId="0"/>
              <x14:cfIcon iconSet="3Flags" iconId="1"/>
              <x14:cfIcon iconSet="3Signs" iconId="0"/>
            </x14:iconSet>
          </x14:cfRule>
          <xm:sqref>E30</xm:sqref>
        </x14:conditionalFormatting>
        <x14:conditionalFormatting xmlns:xm="http://schemas.microsoft.com/office/excel/2006/main">
          <x14:cfRule type="iconSet" priority="806" id="{C488FE0A-92DA-4A5F-AAF5-CFB1D5791114}">
            <x14:iconSet iconSet="3Stars" showValue="0" custom="1">
              <x14:cfvo type="percent">
                <xm:f>0</xm:f>
              </x14:cfvo>
              <x14:cfvo type="num">
                <xm:f>1</xm:f>
              </x14:cfvo>
              <x14:cfvo type="num">
                <xm:f>2</xm:f>
              </x14:cfvo>
              <x14:cfIcon iconSet="NoIcons" iconId="0"/>
              <x14:cfIcon iconSet="3Flags" iconId="1"/>
              <x14:cfIcon iconSet="3Signs" iconId="0"/>
            </x14:iconSet>
          </x14:cfRule>
          <xm:sqref>E30</xm:sqref>
        </x14:conditionalFormatting>
        <x14:conditionalFormatting xmlns:xm="http://schemas.microsoft.com/office/excel/2006/main">
          <x14:cfRule type="iconSet" priority="804" id="{44BA2D83-B89A-41C5-BDFB-532FF34DF56C}">
            <x14:iconSet iconSet="3Stars" showValue="0" custom="1">
              <x14:cfvo type="percent">
                <xm:f>0</xm:f>
              </x14:cfvo>
              <x14:cfvo type="num">
                <xm:f>1</xm:f>
              </x14:cfvo>
              <x14:cfvo type="num">
                <xm:f>2</xm:f>
              </x14:cfvo>
              <x14:cfIcon iconSet="NoIcons" iconId="0"/>
              <x14:cfIcon iconSet="3Flags" iconId="1"/>
              <x14:cfIcon iconSet="3Signs" iconId="0"/>
            </x14:iconSet>
          </x14:cfRule>
          <xm:sqref>F32</xm:sqref>
        </x14:conditionalFormatting>
        <x14:conditionalFormatting xmlns:xm="http://schemas.microsoft.com/office/excel/2006/main">
          <x14:cfRule type="iconSet" priority="802" id="{D385B311-92AD-44F6-AD03-9C02247132F9}">
            <x14:iconSet iconSet="3Stars" showValue="0" custom="1">
              <x14:cfvo type="percent">
                <xm:f>0</xm:f>
              </x14:cfvo>
              <x14:cfvo type="num">
                <xm:f>1</xm:f>
              </x14:cfvo>
              <x14:cfvo type="num">
                <xm:f>2</xm:f>
              </x14:cfvo>
              <x14:cfIcon iconSet="NoIcons" iconId="0"/>
              <x14:cfIcon iconSet="3Flags" iconId="1"/>
              <x14:cfIcon iconSet="3Signs" iconId="0"/>
            </x14:iconSet>
          </x14:cfRule>
          <xm:sqref>F32</xm:sqref>
        </x14:conditionalFormatting>
        <x14:conditionalFormatting xmlns:xm="http://schemas.microsoft.com/office/excel/2006/main">
          <x14:cfRule type="iconSet" priority="800" id="{EA6A2B96-F88E-490E-876A-26D0C21E3D48}">
            <x14:iconSet iconSet="3Stars" showValue="0" custom="1">
              <x14:cfvo type="percent">
                <xm:f>0</xm:f>
              </x14:cfvo>
              <x14:cfvo type="num">
                <xm:f>1</xm:f>
              </x14:cfvo>
              <x14:cfvo type="num">
                <xm:f>2</xm:f>
              </x14:cfvo>
              <x14:cfIcon iconSet="NoIcons" iconId="0"/>
              <x14:cfIcon iconSet="3Flags" iconId="1"/>
              <x14:cfIcon iconSet="3Signs" iconId="0"/>
            </x14:iconSet>
          </x14:cfRule>
          <xm:sqref>F32</xm:sqref>
        </x14:conditionalFormatting>
        <x14:conditionalFormatting xmlns:xm="http://schemas.microsoft.com/office/excel/2006/main">
          <x14:cfRule type="iconSet" priority="798" id="{F17FCC81-24F4-46D5-9B01-C7DAD93D0B72}">
            <x14:iconSet iconSet="3Stars" showValue="0" custom="1">
              <x14:cfvo type="percent">
                <xm:f>0</xm:f>
              </x14:cfvo>
              <x14:cfvo type="num">
                <xm:f>1</xm:f>
              </x14:cfvo>
              <x14:cfvo type="num">
                <xm:f>2</xm:f>
              </x14:cfvo>
              <x14:cfIcon iconSet="NoIcons" iconId="0"/>
              <x14:cfIcon iconSet="3Flags" iconId="1"/>
              <x14:cfIcon iconSet="3Signs" iconId="0"/>
            </x14:iconSet>
          </x14:cfRule>
          <xm:sqref>F32</xm:sqref>
        </x14:conditionalFormatting>
        <x14:conditionalFormatting xmlns:xm="http://schemas.microsoft.com/office/excel/2006/main">
          <x14:cfRule type="iconSet" priority="796" id="{89000A95-624B-4A79-85A6-0F601FD12332}">
            <x14:iconSet iconSet="3Stars" showValue="0" custom="1">
              <x14:cfvo type="percent">
                <xm:f>0</xm:f>
              </x14:cfvo>
              <x14:cfvo type="num">
                <xm:f>1</xm:f>
              </x14:cfvo>
              <x14:cfvo type="num">
                <xm:f>2</xm:f>
              </x14:cfvo>
              <x14:cfIcon iconSet="NoIcons" iconId="0"/>
              <x14:cfIcon iconSet="3Flags" iconId="1"/>
              <x14:cfIcon iconSet="3Signs" iconId="0"/>
            </x14:iconSet>
          </x14:cfRule>
          <xm:sqref>G32</xm:sqref>
        </x14:conditionalFormatting>
        <x14:conditionalFormatting xmlns:xm="http://schemas.microsoft.com/office/excel/2006/main">
          <x14:cfRule type="iconSet" priority="794" id="{B3971982-FDFE-4B4B-9526-8B94FF652FE9}">
            <x14:iconSet iconSet="3Stars" showValue="0" custom="1">
              <x14:cfvo type="percent">
                <xm:f>0</xm:f>
              </x14:cfvo>
              <x14:cfvo type="num">
                <xm:f>1</xm:f>
              </x14:cfvo>
              <x14:cfvo type="num">
                <xm:f>2</xm:f>
              </x14:cfvo>
              <x14:cfIcon iconSet="NoIcons" iconId="0"/>
              <x14:cfIcon iconSet="3Flags" iconId="1"/>
              <x14:cfIcon iconSet="3Signs" iconId="0"/>
            </x14:iconSet>
          </x14:cfRule>
          <xm:sqref>G32</xm:sqref>
        </x14:conditionalFormatting>
        <x14:conditionalFormatting xmlns:xm="http://schemas.microsoft.com/office/excel/2006/main">
          <x14:cfRule type="iconSet" priority="792" id="{B13FE628-5718-4893-A6C6-34D53ECF01BA}">
            <x14:iconSet iconSet="3Stars" showValue="0" custom="1">
              <x14:cfvo type="percent">
                <xm:f>0</xm:f>
              </x14:cfvo>
              <x14:cfvo type="num">
                <xm:f>1</xm:f>
              </x14:cfvo>
              <x14:cfvo type="num">
                <xm:f>2</xm:f>
              </x14:cfvo>
              <x14:cfIcon iconSet="NoIcons" iconId="0"/>
              <x14:cfIcon iconSet="3Flags" iconId="1"/>
              <x14:cfIcon iconSet="3Signs" iconId="0"/>
            </x14:iconSet>
          </x14:cfRule>
          <xm:sqref>G32</xm:sqref>
        </x14:conditionalFormatting>
        <x14:conditionalFormatting xmlns:xm="http://schemas.microsoft.com/office/excel/2006/main">
          <x14:cfRule type="iconSet" priority="790" id="{BD825F14-FE02-45DE-A0CB-863E60A05D44}">
            <x14:iconSet iconSet="3Stars" showValue="0" custom="1">
              <x14:cfvo type="percent">
                <xm:f>0</xm:f>
              </x14:cfvo>
              <x14:cfvo type="num">
                <xm:f>1</xm:f>
              </x14:cfvo>
              <x14:cfvo type="num">
                <xm:f>2</xm:f>
              </x14:cfvo>
              <x14:cfIcon iconSet="NoIcons" iconId="0"/>
              <x14:cfIcon iconSet="3Flags" iconId="1"/>
              <x14:cfIcon iconSet="3Signs" iconId="0"/>
            </x14:iconSet>
          </x14:cfRule>
          <xm:sqref>G32</xm:sqref>
        </x14:conditionalFormatting>
        <x14:conditionalFormatting xmlns:xm="http://schemas.microsoft.com/office/excel/2006/main">
          <x14:cfRule type="iconSet" priority="749" id="{A05D89DF-F6BF-4572-AE7E-2789CB2ECD78}">
            <x14:iconSet iconSet="3Stars" showValue="0" custom="1">
              <x14:cfvo type="percent">
                <xm:f>0</xm:f>
              </x14:cfvo>
              <x14:cfvo type="num">
                <xm:f>1</xm:f>
              </x14:cfvo>
              <x14:cfvo type="num">
                <xm:f>2</xm:f>
              </x14:cfvo>
              <x14:cfIcon iconSet="NoIcons" iconId="0"/>
              <x14:cfIcon iconSet="3Flags" iconId="1"/>
              <x14:cfIcon iconSet="3Signs" iconId="0"/>
            </x14:iconSet>
          </x14:cfRule>
          <xm:sqref>F39:F40</xm:sqref>
        </x14:conditionalFormatting>
        <x14:conditionalFormatting xmlns:xm="http://schemas.microsoft.com/office/excel/2006/main">
          <x14:cfRule type="iconSet" priority="735" id="{D1EAFBDD-C123-4F15-BC3C-52DF859CC8EC}">
            <x14:iconSet iconSet="3Stars" showValue="0" custom="1">
              <x14:cfvo type="percent">
                <xm:f>0</xm:f>
              </x14:cfvo>
              <x14:cfvo type="num">
                <xm:f>1</xm:f>
              </x14:cfvo>
              <x14:cfvo type="num">
                <xm:f>2</xm:f>
              </x14:cfvo>
              <x14:cfIcon iconSet="NoIcons" iconId="0"/>
              <x14:cfIcon iconSet="3Flags" iconId="1"/>
              <x14:cfIcon iconSet="3Signs" iconId="0"/>
            </x14:iconSet>
          </x14:cfRule>
          <xm:sqref>D42 F42:G42</xm:sqref>
        </x14:conditionalFormatting>
        <x14:conditionalFormatting xmlns:xm="http://schemas.microsoft.com/office/excel/2006/main">
          <x14:cfRule type="iconSet" priority="733" id="{3B1BACCA-AFDC-4624-94D4-550F3E2B0068}">
            <x14:iconSet iconSet="3Stars" showValue="0" custom="1">
              <x14:cfvo type="percent">
                <xm:f>0</xm:f>
              </x14:cfvo>
              <x14:cfvo type="num">
                <xm:f>1</xm:f>
              </x14:cfvo>
              <x14:cfvo type="num">
                <xm:f>2</xm:f>
              </x14:cfvo>
              <x14:cfIcon iconSet="NoIcons" iconId="0"/>
              <x14:cfIcon iconSet="3Flags" iconId="1"/>
              <x14:cfIcon iconSet="3Signs" iconId="0"/>
            </x14:iconSet>
          </x14:cfRule>
          <xm:sqref>F41:G41</xm:sqref>
        </x14:conditionalFormatting>
        <x14:conditionalFormatting xmlns:xm="http://schemas.microsoft.com/office/excel/2006/main">
          <x14:cfRule type="iconSet" priority="671" id="{FB02F2E9-DFFA-42E9-BEEF-9678E75CB8E2}">
            <x14:iconSet iconSet="3Stars" showValue="0" custom="1">
              <x14:cfvo type="percent">
                <xm:f>0</xm:f>
              </x14:cfvo>
              <x14:cfvo type="num">
                <xm:f>1</xm:f>
              </x14:cfvo>
              <x14:cfvo type="num">
                <xm:f>2</xm:f>
              </x14:cfvo>
              <x14:cfIcon iconSet="NoIcons" iconId="0"/>
              <x14:cfIcon iconSet="3Flags" iconId="1"/>
              <x14:cfIcon iconSet="3Signs" iconId="0"/>
            </x14:iconSet>
          </x14:cfRule>
          <xm:sqref>E43:G43</xm:sqref>
        </x14:conditionalFormatting>
        <x14:conditionalFormatting xmlns:xm="http://schemas.microsoft.com/office/excel/2006/main">
          <x14:cfRule type="iconSet" priority="657" id="{E98CC77C-84D9-4EE7-98AA-F3D2CF74C752}">
            <x14:iconSet iconSet="3Stars" showValue="0" custom="1">
              <x14:cfvo type="percent">
                <xm:f>0</xm:f>
              </x14:cfvo>
              <x14:cfvo type="num">
                <xm:f>1</xm:f>
              </x14:cfvo>
              <x14:cfvo type="num">
                <xm:f>2</xm:f>
              </x14:cfvo>
              <x14:cfIcon iconSet="NoIcons" iconId="0"/>
              <x14:cfIcon iconSet="3Flags" iconId="1"/>
              <x14:cfIcon iconSet="3Signs" iconId="0"/>
            </x14:iconSet>
          </x14:cfRule>
          <xm:sqref>E45:F45</xm:sqref>
        </x14:conditionalFormatting>
        <x14:conditionalFormatting xmlns:xm="http://schemas.microsoft.com/office/excel/2006/main">
          <x14:cfRule type="iconSet" priority="650" id="{002065B9-9821-43E9-8C9B-D5563B572630}">
            <x14:iconSet iconSet="3Stars" showValue="0" custom="1">
              <x14:cfvo type="percent">
                <xm:f>0</xm:f>
              </x14:cfvo>
              <x14:cfvo type="num">
                <xm:f>1</xm:f>
              </x14:cfvo>
              <x14:cfvo type="num">
                <xm:f>2</xm:f>
              </x14:cfvo>
              <x14:cfIcon iconSet="NoIcons" iconId="0"/>
              <x14:cfIcon iconSet="3Flags" iconId="1"/>
              <x14:cfIcon iconSet="3Signs" iconId="0"/>
            </x14:iconSet>
          </x14:cfRule>
          <xm:sqref>E46</xm:sqref>
        </x14:conditionalFormatting>
        <x14:conditionalFormatting xmlns:xm="http://schemas.microsoft.com/office/excel/2006/main">
          <x14:cfRule type="iconSet" priority="643" id="{C1022987-C092-4D0B-8732-C18E29172ED9}">
            <x14:iconSet iconSet="3Stars" showValue="0" custom="1">
              <x14:cfvo type="percent">
                <xm:f>0</xm:f>
              </x14:cfvo>
              <x14:cfvo type="num">
                <xm:f>1</xm:f>
              </x14:cfvo>
              <x14:cfvo type="num">
                <xm:f>2</xm:f>
              </x14:cfvo>
              <x14:cfIcon iconSet="NoIcons" iconId="0"/>
              <x14:cfIcon iconSet="3Flags" iconId="1"/>
              <x14:cfIcon iconSet="3Signs" iconId="0"/>
            </x14:iconSet>
          </x14:cfRule>
          <xm:sqref>E49:G49</xm:sqref>
        </x14:conditionalFormatting>
        <x14:conditionalFormatting xmlns:xm="http://schemas.microsoft.com/office/excel/2006/main">
          <x14:cfRule type="iconSet" priority="636" id="{BBAEA45A-0499-4021-911A-34BE34FF2516}">
            <x14:iconSet iconSet="3Stars" showValue="0" custom="1">
              <x14:cfvo type="percent">
                <xm:f>0</xm:f>
              </x14:cfvo>
              <x14:cfvo type="num">
                <xm:f>1</xm:f>
              </x14:cfvo>
              <x14:cfvo type="num">
                <xm:f>2</xm:f>
              </x14:cfvo>
              <x14:cfIcon iconSet="NoIcons" iconId="0"/>
              <x14:cfIcon iconSet="3Flags" iconId="1"/>
              <x14:cfIcon iconSet="3Signs" iconId="0"/>
            </x14:iconSet>
          </x14:cfRule>
          <xm:sqref>D47:G47</xm:sqref>
        </x14:conditionalFormatting>
        <x14:conditionalFormatting xmlns:xm="http://schemas.microsoft.com/office/excel/2006/main">
          <x14:cfRule type="iconSet" priority="629" id="{079EEF47-F42E-4DD4-90D1-4CA40238A5D1}">
            <x14:iconSet iconSet="3Stars" showValue="0" custom="1">
              <x14:cfvo type="percent">
                <xm:f>0</xm:f>
              </x14:cfvo>
              <x14:cfvo type="num">
                <xm:f>1</xm:f>
              </x14:cfvo>
              <x14:cfvo type="num">
                <xm:f>2</xm:f>
              </x14:cfvo>
              <x14:cfIcon iconSet="NoIcons" iconId="0"/>
              <x14:cfIcon iconSet="3Flags" iconId="1"/>
              <x14:cfIcon iconSet="3Signs" iconId="0"/>
            </x14:iconSet>
          </x14:cfRule>
          <xm:sqref>E51:G52</xm:sqref>
        </x14:conditionalFormatting>
        <x14:conditionalFormatting xmlns:xm="http://schemas.microsoft.com/office/excel/2006/main">
          <x14:cfRule type="iconSet" priority="622" id="{F61C431C-5243-48CC-A5F8-4002E724510D}">
            <x14:iconSet iconSet="3Stars" showValue="0" custom="1">
              <x14:cfvo type="percent">
                <xm:f>0</xm:f>
              </x14:cfvo>
              <x14:cfvo type="num">
                <xm:f>1</xm:f>
              </x14:cfvo>
              <x14:cfvo type="num">
                <xm:f>2</xm:f>
              </x14:cfvo>
              <x14:cfIcon iconSet="NoIcons" iconId="0"/>
              <x14:cfIcon iconSet="3Flags" iconId="1"/>
              <x14:cfIcon iconSet="3Signs" iconId="0"/>
            </x14:iconSet>
          </x14:cfRule>
          <xm:sqref>E39:E40</xm:sqref>
        </x14:conditionalFormatting>
        <x14:conditionalFormatting xmlns:xm="http://schemas.microsoft.com/office/excel/2006/main">
          <x14:cfRule type="iconSet" priority="615" id="{096F032C-B528-4E1F-9013-3C8309C44BED}">
            <x14:iconSet iconSet="3Stars" showValue="0" custom="1">
              <x14:cfvo type="percent">
                <xm:f>0</xm:f>
              </x14:cfvo>
              <x14:cfvo type="num">
                <xm:f>1</xm:f>
              </x14:cfvo>
              <x14:cfvo type="num">
                <xm:f>2</xm:f>
              </x14:cfvo>
              <x14:cfIcon iconSet="NoIcons" iconId="0"/>
              <x14:cfIcon iconSet="3Flags" iconId="1"/>
              <x14:cfIcon iconSet="3Signs" iconId="0"/>
            </x14:iconSet>
          </x14:cfRule>
          <xm:sqref>E37</xm:sqref>
        </x14:conditionalFormatting>
        <x14:conditionalFormatting xmlns:xm="http://schemas.microsoft.com/office/excel/2006/main">
          <x14:cfRule type="iconSet" priority="613" id="{292E5057-351C-4BD6-A190-FACDC552373F}">
            <x14:iconSet iconSet="3Stars" showValue="0" custom="1">
              <x14:cfvo type="percent">
                <xm:f>0</xm:f>
              </x14:cfvo>
              <x14:cfvo type="num">
                <xm:f>1</xm:f>
              </x14:cfvo>
              <x14:cfvo type="num">
                <xm:f>2</xm:f>
              </x14:cfvo>
              <x14:cfIcon iconSet="NoIcons" iconId="0"/>
              <x14:cfIcon iconSet="3Flags" iconId="1"/>
              <x14:cfIcon iconSet="3Signs" iconId="0"/>
            </x14:iconSet>
          </x14:cfRule>
          <xm:sqref>F37</xm:sqref>
        </x14:conditionalFormatting>
        <x14:conditionalFormatting xmlns:xm="http://schemas.microsoft.com/office/excel/2006/main">
          <x14:cfRule type="iconSet" priority="611" id="{E4E4594E-E92D-44D0-972B-3C7FC71D6748}">
            <x14:iconSet iconSet="3Stars" showValue="0" custom="1">
              <x14:cfvo type="percent">
                <xm:f>0</xm:f>
              </x14:cfvo>
              <x14:cfvo type="num">
                <xm:f>1</xm:f>
              </x14:cfvo>
              <x14:cfvo type="num">
                <xm:f>2</xm:f>
              </x14:cfvo>
              <x14:cfIcon iconSet="NoIcons" iconId="0"/>
              <x14:cfIcon iconSet="3Flags" iconId="1"/>
              <x14:cfIcon iconSet="3Signs" iconId="0"/>
            </x14:iconSet>
          </x14:cfRule>
          <xm:sqref>E37:F37</xm:sqref>
        </x14:conditionalFormatting>
        <x14:conditionalFormatting xmlns:xm="http://schemas.microsoft.com/office/excel/2006/main">
          <x14:cfRule type="iconSet" priority="609" id="{B2EE9F59-85F2-4DE8-A8B5-BB7B9644B1A8}">
            <x14:iconSet iconSet="3Stars" showValue="0" custom="1">
              <x14:cfvo type="percent">
                <xm:f>0</xm:f>
              </x14:cfvo>
              <x14:cfvo type="num">
                <xm:f>1</xm:f>
              </x14:cfvo>
              <x14:cfvo type="num">
                <xm:f>2</xm:f>
              </x14:cfvo>
              <x14:cfIcon iconSet="NoIcons" iconId="0"/>
              <x14:cfIcon iconSet="3Flags" iconId="1"/>
              <x14:cfIcon iconSet="3Signs" iconId="0"/>
            </x14:iconSet>
          </x14:cfRule>
          <xm:sqref>E37:F37</xm:sqref>
        </x14:conditionalFormatting>
        <x14:conditionalFormatting xmlns:xm="http://schemas.microsoft.com/office/excel/2006/main">
          <x14:cfRule type="iconSet" priority="607" id="{F3E85FDA-D294-436E-84A4-C464A2B2AF57}">
            <x14:iconSet iconSet="3Stars" showValue="0" custom="1">
              <x14:cfvo type="percent">
                <xm:f>0</xm:f>
              </x14:cfvo>
              <x14:cfvo type="num">
                <xm:f>1</xm:f>
              </x14:cfvo>
              <x14:cfvo type="num">
                <xm:f>2</xm:f>
              </x14:cfvo>
              <x14:cfIcon iconSet="NoIcons" iconId="0"/>
              <x14:cfIcon iconSet="3Flags" iconId="1"/>
              <x14:cfIcon iconSet="3Signs" iconId="0"/>
            </x14:iconSet>
          </x14:cfRule>
          <xm:sqref>E37:F37</xm:sqref>
        </x14:conditionalFormatting>
        <x14:conditionalFormatting xmlns:xm="http://schemas.microsoft.com/office/excel/2006/main">
          <x14:cfRule type="iconSet" priority="605" id="{23A97A09-B5E4-42BF-BF06-62D8C46CD59B}">
            <x14:iconSet iconSet="3Stars" showValue="0" custom="1">
              <x14:cfvo type="percent">
                <xm:f>0</xm:f>
              </x14:cfvo>
              <x14:cfvo type="num">
                <xm:f>1</xm:f>
              </x14:cfvo>
              <x14:cfvo type="num">
                <xm:f>2</xm:f>
              </x14:cfvo>
              <x14:cfIcon iconSet="NoIcons" iconId="0"/>
              <x14:cfIcon iconSet="3Flags" iconId="1"/>
              <x14:cfIcon iconSet="3Signs" iconId="0"/>
            </x14:iconSet>
          </x14:cfRule>
          <xm:sqref>E37:F37</xm:sqref>
        </x14:conditionalFormatting>
        <x14:conditionalFormatting xmlns:xm="http://schemas.microsoft.com/office/excel/2006/main">
          <x14:cfRule type="iconSet" priority="603" id="{93747ACE-F55B-46BC-B4D5-BB06FC44657B}">
            <x14:iconSet iconSet="3Stars" showValue="0" custom="1">
              <x14:cfvo type="percent">
                <xm:f>0</xm:f>
              </x14:cfvo>
              <x14:cfvo type="num">
                <xm:f>1</xm:f>
              </x14:cfvo>
              <x14:cfvo type="num">
                <xm:f>2</xm:f>
              </x14:cfvo>
              <x14:cfIcon iconSet="NoIcons" iconId="0"/>
              <x14:cfIcon iconSet="3Flags" iconId="1"/>
              <x14:cfIcon iconSet="3Signs" iconId="0"/>
            </x14:iconSet>
          </x14:cfRule>
          <xm:sqref>E37:F37</xm:sqref>
        </x14:conditionalFormatting>
        <x14:conditionalFormatting xmlns:xm="http://schemas.microsoft.com/office/excel/2006/main">
          <x14:cfRule type="iconSet" priority="601" id="{29BD5A33-E0A1-4C3F-9362-41CAA67D6166}">
            <x14:iconSet iconSet="3Stars" showValue="0" custom="1">
              <x14:cfvo type="percent">
                <xm:f>0</xm:f>
              </x14:cfvo>
              <x14:cfvo type="num">
                <xm:f>1</xm:f>
              </x14:cfvo>
              <x14:cfvo type="num">
                <xm:f>2</xm:f>
              </x14:cfvo>
              <x14:cfIcon iconSet="NoIcons" iconId="0"/>
              <x14:cfIcon iconSet="3Flags" iconId="1"/>
              <x14:cfIcon iconSet="3Signs" iconId="0"/>
            </x14:iconSet>
          </x14:cfRule>
          <xm:sqref>E37:F37</xm:sqref>
        </x14:conditionalFormatting>
        <x14:conditionalFormatting xmlns:xm="http://schemas.microsoft.com/office/excel/2006/main">
          <x14:cfRule type="iconSet" priority="2015" id="{7D02919A-7BBC-44E4-80DB-A7B177C0594A}">
            <x14:iconSet iconSet="3Stars" showValue="0" custom="1">
              <x14:cfvo type="percent">
                <xm:f>0</xm:f>
              </x14:cfvo>
              <x14:cfvo type="num">
                <xm:f>1</xm:f>
              </x14:cfvo>
              <x14:cfvo type="num">
                <xm:f>2</xm:f>
              </x14:cfvo>
              <x14:cfIcon iconSet="NoIcons" iconId="0"/>
              <x14:cfIcon iconSet="3Flags" iconId="1"/>
              <x14:cfIcon iconSet="3Signs" iconId="0"/>
            </x14:iconSet>
          </x14:cfRule>
          <xm:sqref>AO51:AR52 M10:BP11 M12:P54 Q12:BP50</xm:sqref>
        </x14:conditionalFormatting>
        <x14:conditionalFormatting xmlns:xm="http://schemas.microsoft.com/office/excel/2006/main">
          <x14:cfRule type="iconSet" priority="599" id="{0E537EE3-6680-4741-B22A-401C104ED2D6}">
            <x14:iconSet iconSet="3Stars" showValue="0" custom="1">
              <x14:cfvo type="percent">
                <xm:f>0</xm:f>
              </x14:cfvo>
              <x14:cfvo type="num">
                <xm:f>1</xm:f>
              </x14:cfvo>
              <x14:cfvo type="num">
                <xm:f>2</xm:f>
              </x14:cfvo>
              <x14:cfIcon iconSet="NoIcons" iconId="0"/>
              <x14:cfIcon iconSet="3Flags" iconId="1"/>
              <x14:cfIcon iconSet="3Signs" iconId="0"/>
            </x14:iconSet>
          </x14:cfRule>
          <xm:sqref>AI42:AJ42</xm:sqref>
        </x14:conditionalFormatting>
        <x14:conditionalFormatting xmlns:xm="http://schemas.microsoft.com/office/excel/2006/main">
          <x14:cfRule type="iconSet" priority="586" id="{AA4E7839-060B-41D0-86CA-7BA72D47A2CF}">
            <x14:iconSet iconSet="3Stars" showValue="0" custom="1">
              <x14:cfvo type="percent">
                <xm:f>0</xm:f>
              </x14:cfvo>
              <x14:cfvo type="num">
                <xm:f>1</xm:f>
              </x14:cfvo>
              <x14:cfvo type="num">
                <xm:f>2</xm:f>
              </x14:cfvo>
              <x14:cfIcon iconSet="NoIcons" iconId="0"/>
              <x14:cfIcon iconSet="3Flags" iconId="1"/>
              <x14:cfIcon iconSet="3Signs" iconId="0"/>
            </x14:iconSet>
          </x14:cfRule>
          <xm:sqref>AH46:AJ46</xm:sqref>
        </x14:conditionalFormatting>
        <x14:conditionalFormatting xmlns:xm="http://schemas.microsoft.com/office/excel/2006/main">
          <x14:cfRule type="iconSet" priority="568" id="{9A179E43-7E0F-4A83-ACD8-F033132B1A8B}">
            <x14:iconSet iconSet="3Stars" showValue="0" custom="1">
              <x14:cfvo type="percent">
                <xm:f>0</xm:f>
              </x14:cfvo>
              <x14:cfvo type="num">
                <xm:f>1</xm:f>
              </x14:cfvo>
              <x14:cfvo type="num">
                <xm:f>2</xm:f>
              </x14:cfvo>
              <x14:cfIcon iconSet="NoIcons" iconId="0"/>
              <x14:cfIcon iconSet="3Flags" iconId="1"/>
              <x14:cfIcon iconSet="3Signs" iconId="0"/>
            </x14:iconSet>
          </x14:cfRule>
          <xm:sqref>AI47:AJ48</xm:sqref>
        </x14:conditionalFormatting>
        <x14:conditionalFormatting xmlns:xm="http://schemas.microsoft.com/office/excel/2006/main">
          <x14:cfRule type="iconSet" priority="515" id="{F8676D45-6E10-4CA8-8442-AB0118D85D34}">
            <x14:iconSet iconSet="3Stars" showValue="0" custom="1">
              <x14:cfvo type="percent">
                <xm:f>0</xm:f>
              </x14:cfvo>
              <x14:cfvo type="num">
                <xm:f>1</xm:f>
              </x14:cfvo>
              <x14:cfvo type="num">
                <xm:f>2</xm:f>
              </x14:cfvo>
              <x14:cfIcon iconSet="NoIcons" iconId="0"/>
              <x14:cfIcon iconSet="3Flags" iconId="1"/>
              <x14:cfIcon iconSet="3Signs" iconId="0"/>
            </x14:iconSet>
          </x14:cfRule>
          <xm:sqref>E22</xm:sqref>
        </x14:conditionalFormatting>
        <x14:conditionalFormatting xmlns:xm="http://schemas.microsoft.com/office/excel/2006/main">
          <x14:cfRule type="iconSet" priority="508" id="{350BDE5D-EEEB-47EA-8C7A-882F3AF09148}">
            <x14:iconSet iconSet="3Stars" showValue="0" custom="1">
              <x14:cfvo type="percent">
                <xm:f>0</xm:f>
              </x14:cfvo>
              <x14:cfvo type="num">
                <xm:f>1</xm:f>
              </x14:cfvo>
              <x14:cfvo type="num">
                <xm:f>2</xm:f>
              </x14:cfvo>
              <x14:cfIcon iconSet="NoIcons" iconId="0"/>
              <x14:cfIcon iconSet="3Flags" iconId="1"/>
              <x14:cfIcon iconSet="3Signs" iconId="0"/>
            </x14:iconSet>
          </x14:cfRule>
          <xm:sqref>D25</xm:sqref>
        </x14:conditionalFormatting>
        <x14:conditionalFormatting xmlns:xm="http://schemas.microsoft.com/office/excel/2006/main">
          <x14:cfRule type="iconSet" priority="501" id="{A216D092-40C7-4318-95FA-CE089A0B21AA}">
            <x14:iconSet iconSet="3Stars" showValue="0" custom="1">
              <x14:cfvo type="percent">
                <xm:f>0</xm:f>
              </x14:cfvo>
              <x14:cfvo type="num">
                <xm:f>1</xm:f>
              </x14:cfvo>
              <x14:cfvo type="num">
                <xm:f>2</xm:f>
              </x14:cfvo>
              <x14:cfIcon iconSet="NoIcons" iconId="0"/>
              <x14:cfIcon iconSet="3Flags" iconId="1"/>
              <x14:cfIcon iconSet="3Signs" iconId="0"/>
            </x14:iconSet>
          </x14:cfRule>
          <xm:sqref>D41</xm:sqref>
        </x14:conditionalFormatting>
        <x14:conditionalFormatting xmlns:xm="http://schemas.microsoft.com/office/excel/2006/main">
          <x14:cfRule type="iconSet" priority="499" id="{2127A8A8-BD1C-4308-B401-60CA98E34F9F}">
            <x14:iconSet iconSet="3Stars" showValue="0" custom="1">
              <x14:cfvo type="percent">
                <xm:f>0</xm:f>
              </x14:cfvo>
              <x14:cfvo type="num">
                <xm:f>1</xm:f>
              </x14:cfvo>
              <x14:cfvo type="num">
                <xm:f>2</xm:f>
              </x14:cfvo>
              <x14:cfIcon iconSet="NoIcons" iconId="0"/>
              <x14:cfIcon iconSet="3Flags" iconId="1"/>
              <x14:cfIcon iconSet="3Signs" iconId="0"/>
            </x14:iconSet>
          </x14:cfRule>
          <xm:sqref>D41</xm:sqref>
        </x14:conditionalFormatting>
        <x14:conditionalFormatting xmlns:xm="http://schemas.microsoft.com/office/excel/2006/main">
          <x14:cfRule type="iconSet" priority="497" id="{14A40AFB-6ACE-41E2-8AD4-19BA0B1C9DE7}">
            <x14:iconSet iconSet="3Stars" showValue="0" custom="1">
              <x14:cfvo type="percent">
                <xm:f>0</xm:f>
              </x14:cfvo>
              <x14:cfvo type="num">
                <xm:f>1</xm:f>
              </x14:cfvo>
              <x14:cfvo type="num">
                <xm:f>2</xm:f>
              </x14:cfvo>
              <x14:cfIcon iconSet="NoIcons" iconId="0"/>
              <x14:cfIcon iconSet="3Flags" iconId="1"/>
              <x14:cfIcon iconSet="3Signs" iconId="0"/>
            </x14:iconSet>
          </x14:cfRule>
          <xm:sqref>D41</xm:sqref>
        </x14:conditionalFormatting>
        <x14:conditionalFormatting xmlns:xm="http://schemas.microsoft.com/office/excel/2006/main">
          <x14:cfRule type="iconSet" priority="495" id="{39DDC888-23BB-4153-BA58-0FF0A9A9ABE9}">
            <x14:iconSet iconSet="3Stars" showValue="0" custom="1">
              <x14:cfvo type="percent">
                <xm:f>0</xm:f>
              </x14:cfvo>
              <x14:cfvo type="num">
                <xm:f>1</xm:f>
              </x14:cfvo>
              <x14:cfvo type="num">
                <xm:f>2</xm:f>
              </x14:cfvo>
              <x14:cfIcon iconSet="NoIcons" iconId="0"/>
              <x14:cfIcon iconSet="3Flags" iconId="1"/>
              <x14:cfIcon iconSet="3Signs" iconId="0"/>
            </x14:iconSet>
          </x14:cfRule>
          <xm:sqref>D41</xm:sqref>
        </x14:conditionalFormatting>
        <x14:conditionalFormatting xmlns:xm="http://schemas.microsoft.com/office/excel/2006/main">
          <x14:cfRule type="iconSet" priority="493" id="{22AF274A-6615-4ADF-B3CE-33FDFD2AD53D}">
            <x14:iconSet iconSet="3Stars" showValue="0" custom="1">
              <x14:cfvo type="percent">
                <xm:f>0</xm:f>
              </x14:cfvo>
              <x14:cfvo type="num">
                <xm:f>1</xm:f>
              </x14:cfvo>
              <x14:cfvo type="num">
                <xm:f>2</xm:f>
              </x14:cfvo>
              <x14:cfIcon iconSet="NoIcons" iconId="0"/>
              <x14:cfIcon iconSet="3Flags" iconId="1"/>
              <x14:cfIcon iconSet="3Signs" iconId="0"/>
            </x14:iconSet>
          </x14:cfRule>
          <xm:sqref>D41</xm:sqref>
        </x14:conditionalFormatting>
        <x14:conditionalFormatting xmlns:xm="http://schemas.microsoft.com/office/excel/2006/main">
          <x14:cfRule type="iconSet" priority="491" id="{4C707921-8CB3-4C31-99B0-117766E601CD}">
            <x14:iconSet iconSet="3Stars" showValue="0" custom="1">
              <x14:cfvo type="percent">
                <xm:f>0</xm:f>
              </x14:cfvo>
              <x14:cfvo type="num">
                <xm:f>1</xm:f>
              </x14:cfvo>
              <x14:cfvo type="num">
                <xm:f>2</xm:f>
              </x14:cfvo>
              <x14:cfIcon iconSet="NoIcons" iconId="0"/>
              <x14:cfIcon iconSet="3Flags" iconId="1"/>
              <x14:cfIcon iconSet="3Signs" iconId="0"/>
            </x14:iconSet>
          </x14:cfRule>
          <xm:sqref>D41</xm:sqref>
        </x14:conditionalFormatting>
        <x14:conditionalFormatting xmlns:xm="http://schemas.microsoft.com/office/excel/2006/main">
          <x14:cfRule type="iconSet" priority="489" id="{F2155E38-C535-4709-95A8-69000E2A282D}">
            <x14:iconSet iconSet="3Stars" showValue="0" custom="1">
              <x14:cfvo type="percent">
                <xm:f>0</xm:f>
              </x14:cfvo>
              <x14:cfvo type="num">
                <xm:f>1</xm:f>
              </x14:cfvo>
              <x14:cfvo type="num">
                <xm:f>2</xm:f>
              </x14:cfvo>
              <x14:cfIcon iconSet="NoIcons" iconId="0"/>
              <x14:cfIcon iconSet="3Flags" iconId="1"/>
              <x14:cfIcon iconSet="3Signs" iconId="0"/>
            </x14:iconSet>
          </x14:cfRule>
          <xm:sqref>D41</xm:sqref>
        </x14:conditionalFormatting>
        <x14:conditionalFormatting xmlns:xm="http://schemas.microsoft.com/office/excel/2006/main">
          <x14:cfRule type="iconSet" priority="482" id="{3BA56947-ADC5-4C84-907F-3702D17940D8}">
            <x14:iconSet iconSet="3Stars" showValue="0" custom="1">
              <x14:cfvo type="percent">
                <xm:f>0</xm:f>
              </x14:cfvo>
              <x14:cfvo type="num">
                <xm:f>1</xm:f>
              </x14:cfvo>
              <x14:cfvo type="num">
                <xm:f>2</xm:f>
              </x14:cfvo>
              <x14:cfIcon iconSet="NoIcons" iconId="0"/>
              <x14:cfIcon iconSet="3Flags" iconId="1"/>
              <x14:cfIcon iconSet="3Signs" iconId="0"/>
            </x14:iconSet>
          </x14:cfRule>
          <xm:sqref>D14:D15</xm:sqref>
        </x14:conditionalFormatting>
        <x14:conditionalFormatting xmlns:xm="http://schemas.microsoft.com/office/excel/2006/main">
          <x14:cfRule type="iconSet" priority="475" id="{21F0830D-4D16-408D-9A7E-3991E5B3572B}">
            <x14:iconSet iconSet="3Stars" showValue="0" custom="1">
              <x14:cfvo type="percent">
                <xm:f>0</xm:f>
              </x14:cfvo>
              <x14:cfvo type="num">
                <xm:f>1</xm:f>
              </x14:cfvo>
              <x14:cfvo type="num">
                <xm:f>2</xm:f>
              </x14:cfvo>
              <x14:cfIcon iconSet="NoIcons" iconId="0"/>
              <x14:cfIcon iconSet="3Flags" iconId="1"/>
              <x14:cfIcon iconSet="3Signs" iconId="0"/>
            </x14:iconSet>
          </x14:cfRule>
          <xm:sqref>D16</xm:sqref>
        </x14:conditionalFormatting>
        <x14:conditionalFormatting xmlns:xm="http://schemas.microsoft.com/office/excel/2006/main">
          <x14:cfRule type="iconSet" priority="461" id="{42611FDB-128B-4AF9-9834-BDA37B0A7362}">
            <x14:iconSet iconSet="3Stars" showValue="0" custom="1">
              <x14:cfvo type="percent">
                <xm:f>0</xm:f>
              </x14:cfvo>
              <x14:cfvo type="num">
                <xm:f>1</xm:f>
              </x14:cfvo>
              <x14:cfvo type="num">
                <xm:f>2</xm:f>
              </x14:cfvo>
              <x14:cfIcon iconSet="NoIcons" iconId="0"/>
              <x14:cfIcon iconSet="3Flags" iconId="1"/>
              <x14:cfIcon iconSet="3Signs" iconId="0"/>
            </x14:iconSet>
          </x14:cfRule>
          <xm:sqref>D30</xm:sqref>
        </x14:conditionalFormatting>
        <x14:conditionalFormatting xmlns:xm="http://schemas.microsoft.com/office/excel/2006/main">
          <x14:cfRule type="iconSet" priority="459" id="{064C609E-407D-4FA1-AE35-FBAC53581A38}">
            <x14:iconSet iconSet="3Stars" showValue="0" custom="1">
              <x14:cfvo type="percent">
                <xm:f>0</xm:f>
              </x14:cfvo>
              <x14:cfvo type="num">
                <xm:f>1</xm:f>
              </x14:cfvo>
              <x14:cfvo type="num">
                <xm:f>2</xm:f>
              </x14:cfvo>
              <x14:cfIcon iconSet="NoIcons" iconId="0"/>
              <x14:cfIcon iconSet="3Flags" iconId="1"/>
              <x14:cfIcon iconSet="3Signs" iconId="0"/>
            </x14:iconSet>
          </x14:cfRule>
          <xm:sqref>D30</xm:sqref>
        </x14:conditionalFormatting>
        <x14:conditionalFormatting xmlns:xm="http://schemas.microsoft.com/office/excel/2006/main">
          <x14:cfRule type="iconSet" priority="457" id="{FFAC1803-3726-4C96-A443-D068F9CBA0C6}">
            <x14:iconSet iconSet="3Stars" showValue="0" custom="1">
              <x14:cfvo type="percent">
                <xm:f>0</xm:f>
              </x14:cfvo>
              <x14:cfvo type="num">
                <xm:f>1</xm:f>
              </x14:cfvo>
              <x14:cfvo type="num">
                <xm:f>2</xm:f>
              </x14:cfvo>
              <x14:cfIcon iconSet="NoIcons" iconId="0"/>
              <x14:cfIcon iconSet="3Flags" iconId="1"/>
              <x14:cfIcon iconSet="3Signs" iconId="0"/>
            </x14:iconSet>
          </x14:cfRule>
          <xm:sqref>D30</xm:sqref>
        </x14:conditionalFormatting>
        <x14:conditionalFormatting xmlns:xm="http://schemas.microsoft.com/office/excel/2006/main">
          <x14:cfRule type="iconSet" priority="455" id="{A2952CFB-4B7A-4685-A43E-FE52FB00F882}">
            <x14:iconSet iconSet="3Stars" showValue="0" custom="1">
              <x14:cfvo type="percent">
                <xm:f>0</xm:f>
              </x14:cfvo>
              <x14:cfvo type="num">
                <xm:f>1</xm:f>
              </x14:cfvo>
              <x14:cfvo type="num">
                <xm:f>2</xm:f>
              </x14:cfvo>
              <x14:cfIcon iconSet="NoIcons" iconId="0"/>
              <x14:cfIcon iconSet="3Flags" iconId="1"/>
              <x14:cfIcon iconSet="3Signs" iconId="0"/>
            </x14:iconSet>
          </x14:cfRule>
          <xm:sqref>D30</xm:sqref>
        </x14:conditionalFormatting>
        <x14:conditionalFormatting xmlns:xm="http://schemas.microsoft.com/office/excel/2006/main">
          <x14:cfRule type="iconSet" priority="453" id="{CB77CED5-95D3-4017-879D-52DE334DCAC3}">
            <x14:iconSet iconSet="3Stars" showValue="0" custom="1">
              <x14:cfvo type="percent">
                <xm:f>0</xm:f>
              </x14:cfvo>
              <x14:cfvo type="num">
                <xm:f>1</xm:f>
              </x14:cfvo>
              <x14:cfvo type="num">
                <xm:f>2</xm:f>
              </x14:cfvo>
              <x14:cfIcon iconSet="NoIcons" iconId="0"/>
              <x14:cfIcon iconSet="3Flags" iconId="1"/>
              <x14:cfIcon iconSet="3Signs" iconId="0"/>
            </x14:iconSet>
          </x14:cfRule>
          <xm:sqref>D30</xm:sqref>
        </x14:conditionalFormatting>
        <x14:conditionalFormatting xmlns:xm="http://schemas.microsoft.com/office/excel/2006/main">
          <x14:cfRule type="iconSet" priority="446" id="{5A7B9BF8-533F-4BCB-A941-797C6ED6FC2D}">
            <x14:iconSet iconSet="3Stars" showValue="0" custom="1">
              <x14:cfvo type="percent">
                <xm:f>0</xm:f>
              </x14:cfvo>
              <x14:cfvo type="num">
                <xm:f>1</xm:f>
              </x14:cfvo>
              <x14:cfvo type="num">
                <xm:f>2</xm:f>
              </x14:cfvo>
              <x14:cfIcon iconSet="NoIcons" iconId="0"/>
              <x14:cfIcon iconSet="3Flags" iconId="1"/>
              <x14:cfIcon iconSet="3Signs" iconId="0"/>
            </x14:iconSet>
          </x14:cfRule>
          <xm:sqref>D31</xm:sqref>
        </x14:conditionalFormatting>
        <x14:conditionalFormatting xmlns:xm="http://schemas.microsoft.com/office/excel/2006/main">
          <x14:cfRule type="iconSet" priority="422" id="{073F5A60-B288-4B69-A441-4D621EFBE9C4}">
            <x14:iconSet iconSet="3Stars" showValue="0" custom="1">
              <x14:cfvo type="percent">
                <xm:f>0</xm:f>
              </x14:cfvo>
              <x14:cfvo type="num">
                <xm:f>1</xm:f>
              </x14:cfvo>
              <x14:cfvo type="num">
                <xm:f>2</xm:f>
              </x14:cfvo>
              <x14:cfIcon iconSet="NoIcons" iconId="0"/>
              <x14:cfIcon iconSet="3Flags" iconId="1"/>
              <x14:cfIcon iconSet="3Signs" iconId="0"/>
            </x14:iconSet>
          </x14:cfRule>
          <xm:sqref>D52</xm:sqref>
        </x14:conditionalFormatting>
        <x14:conditionalFormatting xmlns:xm="http://schemas.microsoft.com/office/excel/2006/main">
          <x14:cfRule type="iconSet" priority="415" id="{954F5AE0-BA90-46F7-8882-9D7CD9638E67}">
            <x14:iconSet iconSet="3Stars" showValue="0" custom="1">
              <x14:cfvo type="percent">
                <xm:f>0</xm:f>
              </x14:cfvo>
              <x14:cfvo type="num">
                <xm:f>1</xm:f>
              </x14:cfvo>
              <x14:cfvo type="num">
                <xm:f>2</xm:f>
              </x14:cfvo>
              <x14:cfIcon iconSet="NoIcons" iconId="0"/>
              <x14:cfIcon iconSet="3Flags" iconId="1"/>
              <x14:cfIcon iconSet="3Signs" iconId="0"/>
            </x14:iconSet>
          </x14:cfRule>
          <xm:sqref>D37</xm:sqref>
        </x14:conditionalFormatting>
        <x14:conditionalFormatting xmlns:xm="http://schemas.microsoft.com/office/excel/2006/main">
          <x14:cfRule type="iconSet" priority="413" id="{C0E98231-A5A8-44DD-B030-0FAA7BBC9450}">
            <x14:iconSet iconSet="3Stars" showValue="0" custom="1">
              <x14:cfvo type="percent">
                <xm:f>0</xm:f>
              </x14:cfvo>
              <x14:cfvo type="num">
                <xm:f>1</xm:f>
              </x14:cfvo>
              <x14:cfvo type="num">
                <xm:f>2</xm:f>
              </x14:cfvo>
              <x14:cfIcon iconSet="NoIcons" iconId="0"/>
              <x14:cfIcon iconSet="3Flags" iconId="1"/>
              <x14:cfIcon iconSet="3Signs" iconId="0"/>
            </x14:iconSet>
          </x14:cfRule>
          <xm:sqref>D37</xm:sqref>
        </x14:conditionalFormatting>
        <x14:conditionalFormatting xmlns:xm="http://schemas.microsoft.com/office/excel/2006/main">
          <x14:cfRule type="iconSet" priority="411" id="{867F2127-5070-46D9-9832-35F146189DD4}">
            <x14:iconSet iconSet="3Stars" showValue="0" custom="1">
              <x14:cfvo type="percent">
                <xm:f>0</xm:f>
              </x14:cfvo>
              <x14:cfvo type="num">
                <xm:f>1</xm:f>
              </x14:cfvo>
              <x14:cfvo type="num">
                <xm:f>2</xm:f>
              </x14:cfvo>
              <x14:cfIcon iconSet="NoIcons" iconId="0"/>
              <x14:cfIcon iconSet="3Flags" iconId="1"/>
              <x14:cfIcon iconSet="3Signs" iconId="0"/>
            </x14:iconSet>
          </x14:cfRule>
          <xm:sqref>D37</xm:sqref>
        </x14:conditionalFormatting>
        <x14:conditionalFormatting xmlns:xm="http://schemas.microsoft.com/office/excel/2006/main">
          <x14:cfRule type="iconSet" priority="409" id="{AF490986-AA50-4CE9-8032-9935375A9C9D}">
            <x14:iconSet iconSet="3Stars" showValue="0" custom="1">
              <x14:cfvo type="percent">
                <xm:f>0</xm:f>
              </x14:cfvo>
              <x14:cfvo type="num">
                <xm:f>1</xm:f>
              </x14:cfvo>
              <x14:cfvo type="num">
                <xm:f>2</xm:f>
              </x14:cfvo>
              <x14:cfIcon iconSet="NoIcons" iconId="0"/>
              <x14:cfIcon iconSet="3Flags" iconId="1"/>
              <x14:cfIcon iconSet="3Signs" iconId="0"/>
            </x14:iconSet>
          </x14:cfRule>
          <xm:sqref>D37</xm:sqref>
        </x14:conditionalFormatting>
        <x14:conditionalFormatting xmlns:xm="http://schemas.microsoft.com/office/excel/2006/main">
          <x14:cfRule type="iconSet" priority="407" id="{865759DF-7B1C-474C-8347-A7FA2FA1073A}">
            <x14:iconSet iconSet="3Stars" showValue="0" custom="1">
              <x14:cfvo type="percent">
                <xm:f>0</xm:f>
              </x14:cfvo>
              <x14:cfvo type="num">
                <xm:f>1</xm:f>
              </x14:cfvo>
              <x14:cfvo type="num">
                <xm:f>2</xm:f>
              </x14:cfvo>
              <x14:cfIcon iconSet="NoIcons" iconId="0"/>
              <x14:cfIcon iconSet="3Flags" iconId="1"/>
              <x14:cfIcon iconSet="3Signs" iconId="0"/>
            </x14:iconSet>
          </x14:cfRule>
          <xm:sqref>D37</xm:sqref>
        </x14:conditionalFormatting>
        <x14:conditionalFormatting xmlns:xm="http://schemas.microsoft.com/office/excel/2006/main">
          <x14:cfRule type="iconSet" priority="405" id="{5B2D1954-620D-4C5A-A069-4DC4C805412C}">
            <x14:iconSet iconSet="3Stars" showValue="0" custom="1">
              <x14:cfvo type="percent">
                <xm:f>0</xm:f>
              </x14:cfvo>
              <x14:cfvo type="num">
                <xm:f>1</xm:f>
              </x14:cfvo>
              <x14:cfvo type="num">
                <xm:f>2</xm:f>
              </x14:cfvo>
              <x14:cfIcon iconSet="NoIcons" iconId="0"/>
              <x14:cfIcon iconSet="3Flags" iconId="1"/>
              <x14:cfIcon iconSet="3Signs" iconId="0"/>
            </x14:iconSet>
          </x14:cfRule>
          <xm:sqref>D37</xm:sqref>
        </x14:conditionalFormatting>
        <x14:conditionalFormatting xmlns:xm="http://schemas.microsoft.com/office/excel/2006/main">
          <x14:cfRule type="iconSet" priority="403" id="{AB0A74C6-0FE5-4487-83A2-88C319186F0D}">
            <x14:iconSet iconSet="3Stars" showValue="0" custom="1">
              <x14:cfvo type="percent">
                <xm:f>0</xm:f>
              </x14:cfvo>
              <x14:cfvo type="num">
                <xm:f>1</xm:f>
              </x14:cfvo>
              <x14:cfvo type="num">
                <xm:f>2</xm:f>
              </x14:cfvo>
              <x14:cfIcon iconSet="NoIcons" iconId="0"/>
              <x14:cfIcon iconSet="3Flags" iconId="1"/>
              <x14:cfIcon iconSet="3Signs" iconId="0"/>
            </x14:iconSet>
          </x14:cfRule>
          <xm:sqref>D37</xm:sqref>
        </x14:conditionalFormatting>
        <x14:conditionalFormatting xmlns:xm="http://schemas.microsoft.com/office/excel/2006/main">
          <x14:cfRule type="iconSet" priority="396" id="{39A071E7-3947-4C91-85AB-5FB3B9EBABB7}">
            <x14:iconSet iconSet="3Stars" showValue="0" custom="1">
              <x14:cfvo type="percent">
                <xm:f>0</xm:f>
              </x14:cfvo>
              <x14:cfvo type="num">
                <xm:f>1</xm:f>
              </x14:cfvo>
              <x14:cfvo type="num">
                <xm:f>2</xm:f>
              </x14:cfvo>
              <x14:cfIcon iconSet="NoIcons" iconId="0"/>
              <x14:cfIcon iconSet="3Flags" iconId="1"/>
              <x14:cfIcon iconSet="3Signs" iconId="0"/>
            </x14:iconSet>
          </x14:cfRule>
          <xm:sqref>D38:F38</xm:sqref>
        </x14:conditionalFormatting>
        <x14:conditionalFormatting xmlns:xm="http://schemas.microsoft.com/office/excel/2006/main">
          <x14:cfRule type="iconSet" priority="389" id="{2C0EAE4C-84CD-47BB-AA45-B11F505052BE}">
            <x14:iconSet iconSet="3Stars" showValue="0" custom="1">
              <x14:cfvo type="percent">
                <xm:f>0</xm:f>
              </x14:cfvo>
              <x14:cfvo type="num">
                <xm:f>1</xm:f>
              </x14:cfvo>
              <x14:cfvo type="num">
                <xm:f>2</xm:f>
              </x14:cfvo>
              <x14:cfIcon iconSet="NoIcons" iconId="0"/>
              <x14:cfIcon iconSet="3Flags" iconId="1"/>
              <x14:cfIcon iconSet="3Signs" iconId="0"/>
            </x14:iconSet>
          </x14:cfRule>
          <xm:sqref>D48:G48</xm:sqref>
        </x14:conditionalFormatting>
        <x14:conditionalFormatting xmlns:xm="http://schemas.microsoft.com/office/excel/2006/main">
          <x14:cfRule type="iconSet" priority="387" id="{D5F7AFEC-79D7-414F-A2F1-08FBE419E9A3}">
            <x14:iconSet iconSet="3Stars" showValue="0" custom="1">
              <x14:cfvo type="percent">
                <xm:f>0</xm:f>
              </x14:cfvo>
              <x14:cfvo type="num">
                <xm:f>1</xm:f>
              </x14:cfvo>
              <x14:cfvo type="num">
                <xm:f>2</xm:f>
              </x14:cfvo>
              <x14:cfIcon iconSet="NoIcons" iconId="0"/>
              <x14:cfIcon iconSet="3Flags" iconId="1"/>
              <x14:cfIcon iconSet="3Signs" iconId="0"/>
            </x14:iconSet>
          </x14:cfRule>
          <xm:sqref>E14:E15 D15:E15</xm:sqref>
        </x14:conditionalFormatting>
        <x14:conditionalFormatting xmlns:xm="http://schemas.microsoft.com/office/excel/2006/main">
          <x14:cfRule type="iconSet" priority="385" id="{D3427ADB-82D8-4568-A285-A0DC0BE3A291}">
            <x14:iconSet iconSet="3Stars" showValue="0" custom="1">
              <x14:cfvo type="percent">
                <xm:f>0</xm:f>
              </x14:cfvo>
              <x14:cfvo type="num">
                <xm:f>1</xm:f>
              </x14:cfvo>
              <x14:cfvo type="num">
                <xm:f>2</xm:f>
              </x14:cfvo>
              <x14:cfIcon iconSet="NoIcons" iconId="0"/>
              <x14:cfIcon iconSet="3Flags" iconId="1"/>
              <x14:cfIcon iconSet="3Signs" iconId="0"/>
            </x14:iconSet>
          </x14:cfRule>
          <xm:sqref>E16</xm:sqref>
        </x14:conditionalFormatting>
        <x14:conditionalFormatting xmlns:xm="http://schemas.microsoft.com/office/excel/2006/main">
          <x14:cfRule type="iconSet" priority="378" id="{0A6A4001-3CC4-4820-8A3C-BA97B44B883C}">
            <x14:iconSet iconSet="3Stars" showValue="0" custom="1">
              <x14:cfvo type="percent">
                <xm:f>0</xm:f>
              </x14:cfvo>
              <x14:cfvo type="num">
                <xm:f>1</xm:f>
              </x14:cfvo>
              <x14:cfvo type="num">
                <xm:f>2</xm:f>
              </x14:cfvo>
              <x14:cfIcon iconSet="NoIcons" iconId="0"/>
              <x14:cfIcon iconSet="3Flags" iconId="1"/>
              <x14:cfIcon iconSet="3Signs" iconId="0"/>
            </x14:iconSet>
          </x14:cfRule>
          <xm:sqref>D21</xm:sqref>
        </x14:conditionalFormatting>
        <x14:conditionalFormatting xmlns:xm="http://schemas.microsoft.com/office/excel/2006/main">
          <x14:cfRule type="iconSet" priority="371" id="{11BB072D-386E-4591-B782-32BC5B368249}">
            <x14:iconSet iconSet="3Stars" showValue="0" custom="1">
              <x14:cfvo type="percent">
                <xm:f>0</xm:f>
              </x14:cfvo>
              <x14:cfvo type="num">
                <xm:f>1</xm:f>
              </x14:cfvo>
              <x14:cfvo type="num">
                <xm:f>2</xm:f>
              </x14:cfvo>
              <x14:cfIcon iconSet="NoIcons" iconId="0"/>
              <x14:cfIcon iconSet="3Flags" iconId="1"/>
              <x14:cfIcon iconSet="3Signs" iconId="0"/>
            </x14:iconSet>
          </x14:cfRule>
          <xm:sqref>E21</xm:sqref>
        </x14:conditionalFormatting>
        <x14:conditionalFormatting xmlns:xm="http://schemas.microsoft.com/office/excel/2006/main">
          <x14:cfRule type="iconSet" priority="369" id="{3B20D3CD-6528-4669-B6E5-A9D641A4B745}">
            <x14:iconSet iconSet="3Stars" showValue="0" custom="1">
              <x14:cfvo type="percent">
                <xm:f>0</xm:f>
              </x14:cfvo>
              <x14:cfvo type="num">
                <xm:f>1</xm:f>
              </x14:cfvo>
              <x14:cfvo type="num">
                <xm:f>2</xm:f>
              </x14:cfvo>
              <x14:cfIcon iconSet="NoIcons" iconId="0"/>
              <x14:cfIcon iconSet="3Flags" iconId="1"/>
              <x14:cfIcon iconSet="3Signs" iconId="0"/>
            </x14:iconSet>
          </x14:cfRule>
          <xm:sqref>F24</xm:sqref>
        </x14:conditionalFormatting>
        <x14:conditionalFormatting xmlns:xm="http://schemas.microsoft.com/office/excel/2006/main">
          <x14:cfRule type="iconSet" priority="367" id="{4079D179-609D-48CA-B569-62AE8F593A72}">
            <x14:iconSet iconSet="3Stars" showValue="0" custom="1">
              <x14:cfvo type="percent">
                <xm:f>0</xm:f>
              </x14:cfvo>
              <x14:cfvo type="num">
                <xm:f>1</xm:f>
              </x14:cfvo>
              <x14:cfvo type="num">
                <xm:f>2</xm:f>
              </x14:cfvo>
              <x14:cfIcon iconSet="NoIcons" iconId="0"/>
              <x14:cfIcon iconSet="3Flags" iconId="1"/>
              <x14:cfIcon iconSet="3Signs" iconId="0"/>
            </x14:iconSet>
          </x14:cfRule>
          <xm:sqref>F24</xm:sqref>
        </x14:conditionalFormatting>
        <x14:conditionalFormatting xmlns:xm="http://schemas.microsoft.com/office/excel/2006/main">
          <x14:cfRule type="iconSet" priority="360" id="{53EE2EDC-D355-4C79-A50C-F30ED5C788C6}">
            <x14:iconSet iconSet="3Stars" showValue="0" custom="1">
              <x14:cfvo type="percent">
                <xm:f>0</xm:f>
              </x14:cfvo>
              <x14:cfvo type="num">
                <xm:f>1</xm:f>
              </x14:cfvo>
              <x14:cfvo type="num">
                <xm:f>2</xm:f>
              </x14:cfvo>
              <x14:cfIcon iconSet="NoIcons" iconId="0"/>
              <x14:cfIcon iconSet="3Flags" iconId="1"/>
              <x14:cfIcon iconSet="3Signs" iconId="0"/>
            </x14:iconSet>
          </x14:cfRule>
          <xm:sqref>E26</xm:sqref>
        </x14:conditionalFormatting>
        <x14:conditionalFormatting xmlns:xm="http://schemas.microsoft.com/office/excel/2006/main">
          <x14:cfRule type="iconSet" priority="358" id="{19928F57-168A-4A32-8DFE-C5A17F5461C5}">
            <x14:iconSet iconSet="3Stars" showValue="0" custom="1">
              <x14:cfvo type="percent">
                <xm:f>0</xm:f>
              </x14:cfvo>
              <x14:cfvo type="num">
                <xm:f>1</xm:f>
              </x14:cfvo>
              <x14:cfvo type="num">
                <xm:f>2</xm:f>
              </x14:cfvo>
              <x14:cfIcon iconSet="NoIcons" iconId="0"/>
              <x14:cfIcon iconSet="3Flags" iconId="1"/>
              <x14:cfIcon iconSet="3Signs" iconId="0"/>
            </x14:iconSet>
          </x14:cfRule>
          <xm:sqref>E26</xm:sqref>
        </x14:conditionalFormatting>
        <x14:conditionalFormatting xmlns:xm="http://schemas.microsoft.com/office/excel/2006/main">
          <x14:cfRule type="iconSet" priority="356" id="{E1DCBD16-37CA-4FDB-8675-9AA19AAAEA9E}">
            <x14:iconSet iconSet="3Stars" showValue="0" custom="1">
              <x14:cfvo type="percent">
                <xm:f>0</xm:f>
              </x14:cfvo>
              <x14:cfvo type="num">
                <xm:f>1</xm:f>
              </x14:cfvo>
              <x14:cfvo type="num">
                <xm:f>2</xm:f>
              </x14:cfvo>
              <x14:cfIcon iconSet="NoIcons" iconId="0"/>
              <x14:cfIcon iconSet="3Flags" iconId="1"/>
              <x14:cfIcon iconSet="3Signs" iconId="0"/>
            </x14:iconSet>
          </x14:cfRule>
          <xm:sqref>E26</xm:sqref>
        </x14:conditionalFormatting>
        <x14:conditionalFormatting xmlns:xm="http://schemas.microsoft.com/office/excel/2006/main">
          <x14:cfRule type="iconSet" priority="2492" id="{763A17EA-0596-4403-9F81-962D330720D0}">
            <x14:iconSet iconSet="3Stars" showValue="0" custom="1">
              <x14:cfvo type="percent">
                <xm:f>0</xm:f>
              </x14:cfvo>
              <x14:cfvo type="num">
                <xm:f>1</xm:f>
              </x14:cfvo>
              <x14:cfvo type="num">
                <xm:f>2</xm:f>
              </x14:cfvo>
              <x14:cfIcon iconSet="NoIcons" iconId="0"/>
              <x14:cfIcon iconSet="3Flags" iconId="1"/>
              <x14:cfIcon iconSet="3Signs" iconId="0"/>
            </x14:iconSet>
          </x14:cfRule>
          <xm:sqref>D35:F35</xm:sqref>
        </x14:conditionalFormatting>
        <x14:conditionalFormatting xmlns:xm="http://schemas.microsoft.com/office/excel/2006/main">
          <x14:cfRule type="iconSet" priority="335" id="{37B9EFE7-84A8-4805-A819-04418D3B95C7}">
            <x14:iconSet iconSet="3Stars" showValue="0" custom="1">
              <x14:cfvo type="percent">
                <xm:f>0</xm:f>
              </x14:cfvo>
              <x14:cfvo type="num">
                <xm:f>1</xm:f>
              </x14:cfvo>
              <x14:cfvo type="num">
                <xm:f>2</xm:f>
              </x14:cfvo>
              <x14:cfIcon iconSet="NoIcons" iconId="0"/>
              <x14:cfIcon iconSet="3Flags" iconId="1"/>
              <x14:cfIcon iconSet="3Signs" iconId="0"/>
            </x14:iconSet>
          </x14:cfRule>
          <xm:sqref>U55:BP55</xm:sqref>
        </x14:conditionalFormatting>
        <x14:conditionalFormatting xmlns:xm="http://schemas.microsoft.com/office/excel/2006/main">
          <x14:cfRule type="iconSet" priority="336" id="{2F7275BF-7BFE-493D-82D6-D7D0C9101FCE}">
            <x14:iconSet iconSet="3Stars" showValue="0" custom="1">
              <x14:cfvo type="percent">
                <xm:f>0</xm:f>
              </x14:cfvo>
              <x14:cfvo type="num">
                <xm:f>1</xm:f>
              </x14:cfvo>
              <x14:cfvo type="num">
                <xm:f>2</xm:f>
              </x14:cfvo>
              <x14:cfIcon iconSet="NoIcons" iconId="0"/>
              <x14:cfIcon iconSet="3Flags" iconId="1"/>
              <x14:cfIcon iconSet="3Signs" iconId="0"/>
            </x14:iconSet>
          </x14:cfRule>
          <xm:sqref>M55:P55</xm:sqref>
        </x14:conditionalFormatting>
        <x14:conditionalFormatting xmlns:xm="http://schemas.microsoft.com/office/excel/2006/main">
          <x14:cfRule type="iconSet" priority="285" id="{EB847099-DBA6-4511-B8AA-D7EFF8BF4932}">
            <x14:iconSet iconSet="3Stars" showValue="0" custom="1">
              <x14:cfvo type="percent">
                <xm:f>0</xm:f>
              </x14:cfvo>
              <x14:cfvo type="num">
                <xm:f>1</xm:f>
              </x14:cfvo>
              <x14:cfvo type="num">
                <xm:f>2</xm:f>
              </x14:cfvo>
              <x14:cfIcon iconSet="NoIcons" iconId="0"/>
              <x14:cfIcon iconSet="3Flags" iconId="1"/>
              <x14:cfIcon iconSet="3Signs" iconId="0"/>
            </x14:iconSet>
          </x14:cfRule>
          <xm:sqref>U64:BP64</xm:sqref>
        </x14:conditionalFormatting>
        <x14:conditionalFormatting xmlns:xm="http://schemas.microsoft.com/office/excel/2006/main">
          <x14:cfRule type="iconSet" priority="272" id="{23464D40-72EE-43BA-9765-5461A0B8BDBC}">
            <x14:iconSet iconSet="3Stars" showValue="0" custom="1">
              <x14:cfvo type="percent">
                <xm:f>0</xm:f>
              </x14:cfvo>
              <x14:cfvo type="num">
                <xm:f>1</xm:f>
              </x14:cfvo>
              <x14:cfvo type="num">
                <xm:f>2</xm:f>
              </x14:cfvo>
              <x14:cfIcon iconSet="NoIcons" iconId="0"/>
              <x14:cfIcon iconSet="3Flags" iconId="1"/>
              <x14:cfIcon iconSet="3Signs" iconId="0"/>
            </x14:iconSet>
          </x14:cfRule>
          <xm:sqref>D64</xm:sqref>
        </x14:conditionalFormatting>
        <x14:conditionalFormatting xmlns:xm="http://schemas.microsoft.com/office/excel/2006/main">
          <x14:cfRule type="iconSet" priority="270" id="{FECE60E5-8C90-4BF8-AB01-5B1A71AECFB9}">
            <x14:iconSet iconSet="3Stars" showValue="0" custom="1">
              <x14:cfvo type="percent">
                <xm:f>0</xm:f>
              </x14:cfvo>
              <x14:cfvo type="num">
                <xm:f>1</xm:f>
              </x14:cfvo>
              <x14:cfvo type="num">
                <xm:f>2</xm:f>
              </x14:cfvo>
              <x14:cfIcon iconSet="NoIcons" iconId="0"/>
              <x14:cfIcon iconSet="3Flags" iconId="1"/>
              <x14:cfIcon iconSet="3Signs" iconId="0"/>
            </x14:iconSet>
          </x14:cfRule>
          <xm:sqref>E64</xm:sqref>
        </x14:conditionalFormatting>
        <x14:conditionalFormatting xmlns:xm="http://schemas.microsoft.com/office/excel/2006/main">
          <x14:cfRule type="iconSet" priority="286" id="{5CE6F83B-5E02-4C0E-9C47-7F8DDE615B4D}">
            <x14:iconSet iconSet="3Stars" showValue="0" custom="1">
              <x14:cfvo type="percent">
                <xm:f>0</xm:f>
              </x14:cfvo>
              <x14:cfvo type="num">
                <xm:f>1</xm:f>
              </x14:cfvo>
              <x14:cfvo type="num">
                <xm:f>2</xm:f>
              </x14:cfvo>
              <x14:cfIcon iconSet="NoIcons" iconId="0"/>
              <x14:cfIcon iconSet="3Flags" iconId="1"/>
              <x14:cfIcon iconSet="3Signs" iconId="0"/>
            </x14:iconSet>
          </x14:cfRule>
          <xm:sqref>M64:P64</xm:sqref>
        </x14:conditionalFormatting>
        <x14:conditionalFormatting xmlns:xm="http://schemas.microsoft.com/office/excel/2006/main">
          <x14:cfRule type="iconSet" priority="267" id="{CFCA1A24-B290-4811-801B-054E774280F5}">
            <x14:iconSet iconSet="3Stars" showValue="0" custom="1">
              <x14:cfvo type="percent">
                <xm:f>0</xm:f>
              </x14:cfvo>
              <x14:cfvo type="num">
                <xm:f>1</xm:f>
              </x14:cfvo>
              <x14:cfvo type="num">
                <xm:f>2</xm:f>
              </x14:cfvo>
              <x14:cfIcon iconSet="NoIcons" iconId="0"/>
              <x14:cfIcon iconSet="3Flags" iconId="1"/>
              <x14:cfIcon iconSet="3Signs" iconId="0"/>
            </x14:iconSet>
          </x14:cfRule>
          <xm:sqref>Q63:BP63 Q64:T64</xm:sqref>
        </x14:conditionalFormatting>
        <x14:conditionalFormatting xmlns:xm="http://schemas.microsoft.com/office/excel/2006/main">
          <x14:cfRule type="iconSet" priority="268" id="{E3DDEA7C-3BD0-4FBE-8FE3-471A48E0B288}">
            <x14:iconSet iconSet="3Stars" showValue="0" custom="1">
              <x14:cfvo type="percent">
                <xm:f>0</xm:f>
              </x14:cfvo>
              <x14:cfvo type="num">
                <xm:f>1</xm:f>
              </x14:cfvo>
              <x14:cfvo type="num">
                <xm:f>2</xm:f>
              </x14:cfvo>
              <x14:cfIcon iconSet="NoIcons" iconId="0"/>
              <x14:cfIcon iconSet="3Flags" iconId="1"/>
              <x14:cfIcon iconSet="3Signs" iconId="0"/>
            </x14:iconSet>
          </x14:cfRule>
          <xm:sqref>M63:P63</xm:sqref>
        </x14:conditionalFormatting>
        <x14:conditionalFormatting xmlns:xm="http://schemas.microsoft.com/office/excel/2006/main">
          <x14:cfRule type="iconSet" priority="2503" id="{BC50F626-F377-4B46-9542-CF7C81EB69BB}">
            <x14:iconSet iconSet="3Stars" showValue="0" custom="1">
              <x14:cfvo type="percent">
                <xm:f>0</xm:f>
              </x14:cfvo>
              <x14:cfvo type="num">
                <xm:f>1</xm:f>
              </x14:cfvo>
              <x14:cfvo type="num">
                <xm:f>2</xm:f>
              </x14:cfvo>
              <x14:cfIcon iconSet="NoIcons" iconId="0"/>
              <x14:cfIcon iconSet="3Flags" iconId="1"/>
              <x14:cfIcon iconSet="3Signs" iconId="0"/>
            </x14:iconSet>
          </x14:cfRule>
          <xm:sqref>U56:BP57 Q58:X58 Q59:AF59 AK60:AN60 BA60:BD60 AO61:AR61 BE61:BH61 U62:X62</xm:sqref>
        </x14:conditionalFormatting>
        <x14:conditionalFormatting xmlns:xm="http://schemas.microsoft.com/office/excel/2006/main">
          <x14:cfRule type="iconSet" priority="2504" id="{B4E2DBBF-49D8-436D-8E41-1B8B58E1A3E1}">
            <x14:iconSet iconSet="3Stars" showValue="0" custom="1">
              <x14:cfvo type="percent">
                <xm:f>0</xm:f>
              </x14:cfvo>
              <x14:cfvo type="num">
                <xm:f>1</xm:f>
              </x14:cfvo>
              <x14:cfvo type="num">
                <xm:f>2</xm:f>
              </x14:cfvo>
              <x14:cfIcon iconSet="NoIcons" iconId="0"/>
              <x14:cfIcon iconSet="3Flags" iconId="1"/>
              <x14:cfIcon iconSet="3Signs" iconId="0"/>
            </x14:iconSet>
          </x14:cfRule>
          <xm:sqref>D56:D59 E60:E61 D62</xm:sqref>
        </x14:conditionalFormatting>
        <x14:conditionalFormatting xmlns:xm="http://schemas.microsoft.com/office/excel/2006/main">
          <x14:cfRule type="iconSet" priority="2506" id="{370AF288-9DCE-4DA3-A539-9ABC62E613C8}">
            <x14:iconSet iconSet="3Stars" showValue="0" custom="1">
              <x14:cfvo type="percent">
                <xm:f>0</xm:f>
              </x14:cfvo>
              <x14:cfvo type="num">
                <xm:f>1</xm:f>
              </x14:cfvo>
              <x14:cfvo type="num">
                <xm:f>2</xm:f>
              </x14:cfvo>
              <x14:cfIcon iconSet="NoIcons" iconId="0"/>
              <x14:cfIcon iconSet="3Flags" iconId="1"/>
              <x14:cfIcon iconSet="3Signs" iconId="0"/>
            </x14:iconSet>
          </x14:cfRule>
          <xm:sqref>M56:P59 Q58:T59 M61:P62 M60</xm:sqref>
        </x14:conditionalFormatting>
        <x14:conditionalFormatting xmlns:xm="http://schemas.microsoft.com/office/excel/2006/main">
          <x14:cfRule type="iconSet" priority="150" id="{3B05679B-4D8A-477E-B07E-4F966277B4CA}">
            <x14:iconSet iconSet="3Stars" showValue="0" custom="1">
              <x14:cfvo type="percent">
                <xm:f>0</xm:f>
              </x14:cfvo>
              <x14:cfvo type="num">
                <xm:f>1</xm:f>
              </x14:cfvo>
              <x14:cfvo type="num">
                <xm:f>2</xm:f>
              </x14:cfvo>
              <x14:cfIcon iconSet="NoIcons" iconId="0"/>
              <x14:cfIcon iconSet="3Flags" iconId="1"/>
              <x14:cfIcon iconSet="3Signs" iconId="0"/>
            </x14:iconSet>
          </x14:cfRule>
          <xm:sqref>E58</xm:sqref>
        </x14:conditionalFormatting>
        <x14:conditionalFormatting xmlns:xm="http://schemas.microsoft.com/office/excel/2006/main">
          <x14:cfRule type="iconSet" priority="148" id="{DB066FC1-2ECD-462A-B5C7-84075F06D3CB}">
            <x14:iconSet iconSet="3Stars" showValue="0" custom="1">
              <x14:cfvo type="percent">
                <xm:f>0</xm:f>
              </x14:cfvo>
              <x14:cfvo type="num">
                <xm:f>1</xm:f>
              </x14:cfvo>
              <x14:cfvo type="num">
                <xm:f>2</xm:f>
              </x14:cfvo>
              <x14:cfIcon iconSet="NoIcons" iconId="0"/>
              <x14:cfIcon iconSet="3Flags" iconId="1"/>
              <x14:cfIcon iconSet="3Signs" iconId="0"/>
            </x14:iconSet>
          </x14:cfRule>
          <xm:sqref>E59</xm:sqref>
        </x14:conditionalFormatting>
        <x14:conditionalFormatting xmlns:xm="http://schemas.microsoft.com/office/excel/2006/main">
          <x14:cfRule type="iconSet" priority="2545" id="{768F8392-202E-4681-B03F-7F4D0B2591DA}">
            <x14:iconSet iconSet="3Stars" showValue="0" custom="1">
              <x14:cfvo type="percent">
                <xm:f>0</xm:f>
              </x14:cfvo>
              <x14:cfvo type="num">
                <xm:f>1</xm:f>
              </x14:cfvo>
              <x14:cfvo type="num">
                <xm:f>2</xm:f>
              </x14:cfvo>
              <x14:cfIcon iconSet="NoIcons" iconId="0"/>
              <x14:cfIcon iconSet="3Flags" iconId="1"/>
              <x14:cfIcon iconSet="3Signs" iconId="0"/>
            </x14:iconSet>
          </x14:cfRule>
          <xm:sqref>E56:E59</xm:sqref>
        </x14:conditionalFormatting>
        <x14:conditionalFormatting xmlns:xm="http://schemas.microsoft.com/office/excel/2006/main">
          <x14:cfRule type="iconSet" priority="138" id="{CEA8227B-4B07-4DFE-8F74-C3E9D51C8054}">
            <x14:iconSet iconSet="3Stars" showValue="0" custom="1">
              <x14:cfvo type="percent">
                <xm:f>0</xm:f>
              </x14:cfvo>
              <x14:cfvo type="num">
                <xm:f>1</xm:f>
              </x14:cfvo>
              <x14:cfvo type="num">
                <xm:f>2</xm:f>
              </x14:cfvo>
              <x14:cfIcon iconSet="NoIcons" iconId="0"/>
              <x14:cfIcon iconSet="3Flags" iconId="1"/>
              <x14:cfIcon iconSet="3Signs" iconId="0"/>
            </x14:iconSet>
          </x14:cfRule>
          <xm:sqref>U65:X65 U71:BP71 Y66:AN66 U68:BD68 U69:AJ69 AK70:BL70</xm:sqref>
        </x14:conditionalFormatting>
        <x14:conditionalFormatting xmlns:xm="http://schemas.microsoft.com/office/excel/2006/main">
          <x14:cfRule type="iconSet" priority="139" id="{F1B46CB7-8673-4360-93EF-3AFF286A2364}">
            <x14:iconSet iconSet="3Stars" showValue="0" custom="1">
              <x14:cfvo type="percent">
                <xm:f>0</xm:f>
              </x14:cfvo>
              <x14:cfvo type="num">
                <xm:f>1</xm:f>
              </x14:cfvo>
              <x14:cfvo type="num">
                <xm:f>2</xm:f>
              </x14:cfvo>
              <x14:cfIcon iconSet="NoIcons" iconId="0"/>
              <x14:cfIcon iconSet="3Flags" iconId="1"/>
              <x14:cfIcon iconSet="3Signs" iconId="0"/>
            </x14:iconSet>
          </x14:cfRule>
          <xm:sqref>D65:D66 D69:D71</xm:sqref>
        </x14:conditionalFormatting>
        <x14:conditionalFormatting xmlns:xm="http://schemas.microsoft.com/office/excel/2006/main">
          <x14:cfRule type="iconSet" priority="140" id="{76DBCEFC-F9D2-43C3-BE4C-BFA38F7181C2}">
            <x14:iconSet iconSet="3Stars" showValue="0" custom="1">
              <x14:cfvo type="percent">
                <xm:f>0</xm:f>
              </x14:cfvo>
              <x14:cfvo type="num">
                <xm:f>1</xm:f>
              </x14:cfvo>
              <x14:cfvo type="num">
                <xm:f>2</xm:f>
              </x14:cfvo>
              <x14:cfIcon iconSet="NoIcons" iconId="0"/>
              <x14:cfIcon iconSet="3Flags" iconId="1"/>
              <x14:cfIcon iconSet="3Signs" iconId="0"/>
            </x14:iconSet>
          </x14:cfRule>
          <xm:sqref>M65:P66 M68:P73</xm:sqref>
        </x14:conditionalFormatting>
        <x14:conditionalFormatting xmlns:xm="http://schemas.microsoft.com/office/excel/2006/main">
          <x14:cfRule type="iconSet" priority="120" id="{4B32C3BE-6535-4886-ACE5-0685E82FB5D3}">
            <x14:iconSet iconSet="3Stars" showValue="0" custom="1">
              <x14:cfvo type="percent">
                <xm:f>0</xm:f>
              </x14:cfvo>
              <x14:cfvo type="num">
                <xm:f>1</xm:f>
              </x14:cfvo>
              <x14:cfvo type="num">
                <xm:f>2</xm:f>
              </x14:cfvo>
              <x14:cfIcon iconSet="NoIcons" iconId="0"/>
              <x14:cfIcon iconSet="3Flags" iconId="1"/>
              <x14:cfIcon iconSet="3Signs" iconId="0"/>
            </x14:iconSet>
          </x14:cfRule>
          <xm:sqref>D68</xm:sqref>
        </x14:conditionalFormatting>
        <x14:conditionalFormatting xmlns:xm="http://schemas.microsoft.com/office/excel/2006/main">
          <x14:cfRule type="iconSet" priority="146" id="{1585CED5-6B28-4189-B9F7-CB6BFC64D890}">
            <x14:iconSet iconSet="3Stars" showValue="0" custom="1">
              <x14:cfvo type="percent">
                <xm:f>0</xm:f>
              </x14:cfvo>
              <x14:cfvo type="num">
                <xm:f>1</xm:f>
              </x14:cfvo>
              <x14:cfvo type="num">
                <xm:f>2</xm:f>
              </x14:cfvo>
              <x14:cfIcon iconSet="NoIcons" iconId="0"/>
              <x14:cfIcon iconSet="3Flags" iconId="1"/>
              <x14:cfIcon iconSet="3Signs" iconId="0"/>
            </x14:iconSet>
          </x14:cfRule>
          <xm:sqref>D68 E65:E66</xm:sqref>
        </x14:conditionalFormatting>
        <x14:conditionalFormatting xmlns:xm="http://schemas.microsoft.com/office/excel/2006/main">
          <x14:cfRule type="iconSet" priority="118" id="{4C70F7A2-BD05-46E1-8654-94ACDFC63EF1}">
            <x14:iconSet iconSet="3Stars" showValue="0" custom="1">
              <x14:cfvo type="percent">
                <xm:f>0</xm:f>
              </x14:cfvo>
              <x14:cfvo type="num">
                <xm:f>1</xm:f>
              </x14:cfvo>
              <x14:cfvo type="num">
                <xm:f>2</xm:f>
              </x14:cfvo>
              <x14:cfIcon iconSet="NoIcons" iconId="0"/>
              <x14:cfIcon iconSet="3Flags" iconId="1"/>
              <x14:cfIcon iconSet="3Signs" iconId="0"/>
            </x14:iconSet>
          </x14:cfRule>
          <xm:sqref>M67:BP67 BE68:BP69 AK69:BD69 U70:AJ70 BM70:BP70 Q68:T72 U72:X72 Q73:AB73 AG73:AJ73 AO73:AR73 AW73:AZ73 BE73:BH73 BM73:BP73</xm:sqref>
        </x14:conditionalFormatting>
        <x14:conditionalFormatting xmlns:xm="http://schemas.microsoft.com/office/excel/2006/main">
          <x14:cfRule type="iconSet" priority="104" id="{EFA8E4CD-D68F-4A59-A388-28325DE3995D}">
            <x14:iconSet iconSet="3Stars" showValue="0" custom="1">
              <x14:cfvo type="percent">
                <xm:f>0</xm:f>
              </x14:cfvo>
              <x14:cfvo type="num">
                <xm:f>1</xm:f>
              </x14:cfvo>
              <x14:cfvo type="num">
                <xm:f>2</xm:f>
              </x14:cfvo>
              <x14:cfIcon iconSet="NoIcons" iconId="0"/>
              <x14:cfIcon iconSet="3Flags" iconId="1"/>
              <x14:cfIcon iconSet="3Signs" iconId="0"/>
            </x14:iconSet>
          </x14:cfRule>
          <xm:sqref>D72:D73</xm:sqref>
        </x14:conditionalFormatting>
        <x14:conditionalFormatting xmlns:xm="http://schemas.microsoft.com/office/excel/2006/main">
          <x14:cfRule type="iconSet" priority="96" id="{5CEDC3CD-D283-45E3-AE5B-C25C7E227D65}">
            <x14:iconSet iconSet="3Stars" showValue="0" custom="1">
              <x14:cfvo type="percent">
                <xm:f>0</xm:f>
              </x14:cfvo>
              <x14:cfvo type="num">
                <xm:f>1</xm:f>
              </x14:cfvo>
              <x14:cfvo type="num">
                <xm:f>2</xm:f>
              </x14:cfvo>
              <x14:cfIcon iconSet="NoIcons" iconId="0"/>
              <x14:cfIcon iconSet="3Flags" iconId="1"/>
              <x14:cfIcon iconSet="3Signs" iconId="0"/>
            </x14:iconSet>
          </x14:cfRule>
          <xm:sqref>Y58:BP58 AG59:BP59 AO60:AZ60 AS61:BD61 BM60:BP61</xm:sqref>
        </x14:conditionalFormatting>
        <x14:conditionalFormatting xmlns:xm="http://schemas.microsoft.com/office/excel/2006/main">
          <x14:cfRule type="iconSet" priority="89" id="{11B8CF83-D57F-4DB8-AC7E-04F06EC79C44}">
            <x14:iconSet iconSet="3Stars" showValue="0" custom="1">
              <x14:cfvo type="percent">
                <xm:f>0</xm:f>
              </x14:cfvo>
              <x14:cfvo type="num">
                <xm:f>1</xm:f>
              </x14:cfvo>
              <x14:cfvo type="num">
                <xm:f>2</xm:f>
              </x14:cfvo>
              <x14:cfIcon iconSet="NoIcons" iconId="0"/>
              <x14:cfIcon iconSet="3Flags" iconId="1"/>
              <x14:cfIcon iconSet="3Signs" iconId="0"/>
            </x14:iconSet>
          </x14:cfRule>
          <xm:sqref>N60:AJ60 Q61:AN61 Q62:T62 Y62:BP62</xm:sqref>
        </x14:conditionalFormatting>
        <x14:conditionalFormatting xmlns:xm="http://schemas.microsoft.com/office/excel/2006/main">
          <x14:cfRule type="iconSet" priority="75" id="{269D40C9-351C-43EB-B833-E34BB93EE3DA}">
            <x14:iconSet iconSet="3Stars" showValue="0" custom="1">
              <x14:cfvo type="percent">
                <xm:f>0</xm:f>
              </x14:cfvo>
              <x14:cfvo type="num">
                <xm:f>1</xm:f>
              </x14:cfvo>
              <x14:cfvo type="num">
                <xm:f>2</xm:f>
              </x14:cfvo>
              <x14:cfIcon iconSet="NoIcons" iconId="0"/>
              <x14:cfIcon iconSet="3Flags" iconId="1"/>
              <x14:cfIcon iconSet="3Signs" iconId="0"/>
            </x14:iconSet>
          </x14:cfRule>
          <xm:sqref>BE60:BL60 BI61:BL61</xm:sqref>
        </x14:conditionalFormatting>
        <x14:conditionalFormatting xmlns:xm="http://schemas.microsoft.com/office/excel/2006/main">
          <x14:cfRule type="iconSet" priority="68" id="{E5223537-90BA-462F-8766-DA01A8571902}">
            <x14:iconSet iconSet="3Stars" showValue="0" custom="1">
              <x14:cfvo type="percent">
                <xm:f>0</xm:f>
              </x14:cfvo>
              <x14:cfvo type="num">
                <xm:f>1</xm:f>
              </x14:cfvo>
              <x14:cfvo type="num">
                <xm:f>2</xm:f>
              </x14:cfvo>
              <x14:cfIcon iconSet="NoIcons" iconId="0"/>
              <x14:cfIcon iconSet="3Flags" iconId="1"/>
              <x14:cfIcon iconSet="3Signs" iconId="0"/>
            </x14:iconSet>
          </x14:cfRule>
          <xm:sqref>Y65:BP65 Q66:X66 AO66:BP66</xm:sqref>
        </x14:conditionalFormatting>
        <x14:conditionalFormatting xmlns:xm="http://schemas.microsoft.com/office/excel/2006/main">
          <x14:cfRule type="iconSet" priority="66" id="{4DEF014F-81D1-43A6-9AD7-54EEB0836CB6}">
            <x14:iconSet iconSet="3Stars" showValue="0" custom="1">
              <x14:cfvo type="percent">
                <xm:f>0</xm:f>
              </x14:cfvo>
              <x14:cfvo type="num">
                <xm:f>1</xm:f>
              </x14:cfvo>
              <x14:cfvo type="num">
                <xm:f>2</xm:f>
              </x14:cfvo>
              <x14:cfIcon iconSet="NoIcons" iconId="0"/>
              <x14:cfIcon iconSet="3Flags" iconId="1"/>
              <x14:cfIcon iconSet="3Signs" iconId="0"/>
            </x14:iconSet>
          </x14:cfRule>
          <xm:sqref>Y72:AB72 AG72:AJ72 AO72:AR72 AW72:AZ72 BE72:BH72 BM72:BP72</xm:sqref>
        </x14:conditionalFormatting>
        <x14:conditionalFormatting xmlns:xm="http://schemas.microsoft.com/office/excel/2006/main">
          <x14:cfRule type="iconSet" priority="59" id="{93B0A5A7-F124-4B35-838F-87DD40C50101}">
            <x14:iconSet iconSet="3Stars" showValue="0" custom="1">
              <x14:cfvo type="percent">
                <xm:f>0</xm:f>
              </x14:cfvo>
              <x14:cfvo type="num">
                <xm:f>1</xm:f>
              </x14:cfvo>
              <x14:cfvo type="num">
                <xm:f>2</xm:f>
              </x14:cfvo>
              <x14:cfIcon iconSet="NoIcons" iconId="0"/>
              <x14:cfIcon iconSet="3Flags" iconId="1"/>
              <x14:cfIcon iconSet="3Signs" iconId="0"/>
            </x14:iconSet>
          </x14:cfRule>
          <xm:sqref>AC72:AF72 AK72:AN72 AS72:AV72 BA72:BD72 BI72:BL72</xm:sqref>
        </x14:conditionalFormatting>
        <x14:conditionalFormatting xmlns:xm="http://schemas.microsoft.com/office/excel/2006/main">
          <x14:cfRule type="iconSet" priority="52" id="{ED38DB24-3A75-4AAC-AF5A-F053727B7CE3}">
            <x14:iconSet iconSet="3Stars" showValue="0" custom="1">
              <x14:cfvo type="percent">
                <xm:f>0</xm:f>
              </x14:cfvo>
              <x14:cfvo type="num">
                <xm:f>1</xm:f>
              </x14:cfvo>
              <x14:cfvo type="num">
                <xm:f>2</xm:f>
              </x14:cfvo>
              <x14:cfIcon iconSet="NoIcons" iconId="0"/>
              <x14:cfIcon iconSet="3Flags" iconId="1"/>
              <x14:cfIcon iconSet="3Signs" iconId="0"/>
            </x14:iconSet>
          </x14:cfRule>
          <xm:sqref>AC73:AF73 AK73:AN73 AS73:AV73 BA73:BD73 BI73:BL73</xm:sqref>
        </x14:conditionalFormatting>
        <x14:conditionalFormatting xmlns:xm="http://schemas.microsoft.com/office/excel/2006/main">
          <x14:cfRule type="iconSet" priority="45" id="{334158C9-59FE-427B-9D88-AEFC708960C1}">
            <x14:iconSet iconSet="3Stars" showValue="0" custom="1">
              <x14:cfvo type="percent">
                <xm:f>0</xm:f>
              </x14:cfvo>
              <x14:cfvo type="num">
                <xm:f>1</xm:f>
              </x14:cfvo>
              <x14:cfvo type="num">
                <xm:f>2</xm:f>
              </x14:cfvo>
              <x14:cfIcon iconSet="NoIcons" iconId="0"/>
              <x14:cfIcon iconSet="3Flags" iconId="1"/>
              <x14:cfIcon iconSet="3Signs" iconId="0"/>
            </x14:iconSet>
          </x14:cfRule>
          <xm:sqref>E40</xm:sqref>
        </x14:conditionalFormatting>
        <x14:conditionalFormatting xmlns:xm="http://schemas.microsoft.com/office/excel/2006/main">
          <x14:cfRule type="iconSet" priority="43" id="{0AC04C27-E0CC-4F62-AFC6-02FD02A9E0F0}">
            <x14:iconSet iconSet="3Stars" showValue="0" custom="1">
              <x14:cfvo type="percent">
                <xm:f>0</xm:f>
              </x14:cfvo>
              <x14:cfvo type="num">
                <xm:f>1</xm:f>
              </x14:cfvo>
              <x14:cfvo type="num">
                <xm:f>2</xm:f>
              </x14:cfvo>
              <x14:cfIcon iconSet="NoIcons" iconId="0"/>
              <x14:cfIcon iconSet="3Flags" iconId="1"/>
              <x14:cfIcon iconSet="3Signs" iconId="0"/>
            </x14:iconSet>
          </x14:cfRule>
          <xm:sqref>E39</xm:sqref>
        </x14:conditionalFormatting>
        <x14:conditionalFormatting xmlns:xm="http://schemas.microsoft.com/office/excel/2006/main">
          <x14:cfRule type="iconSet" priority="36" id="{10FEB164-8EFC-4551-B21A-EAA7E7DE3B23}">
            <x14:iconSet iconSet="3Stars" showValue="0" custom="1">
              <x14:cfvo type="percent">
                <xm:f>0</xm:f>
              </x14:cfvo>
              <x14:cfvo type="num">
                <xm:f>1</xm:f>
              </x14:cfvo>
              <x14:cfvo type="num">
                <xm:f>2</xm:f>
              </x14:cfvo>
              <x14:cfIcon iconSet="NoIcons" iconId="0"/>
              <x14:cfIcon iconSet="3Flags" iconId="1"/>
              <x14:cfIcon iconSet="3Signs" iconId="0"/>
            </x14:iconSet>
          </x14:cfRule>
          <xm:sqref>E41</xm:sqref>
        </x14:conditionalFormatting>
        <x14:conditionalFormatting xmlns:xm="http://schemas.microsoft.com/office/excel/2006/main">
          <x14:cfRule type="iconSet" priority="34" id="{3CE21DAE-009F-4B7E-9EB9-0DF53AC1893A}">
            <x14:iconSet iconSet="3Stars" showValue="0" custom="1">
              <x14:cfvo type="percent">
                <xm:f>0</xm:f>
              </x14:cfvo>
              <x14:cfvo type="num">
                <xm:f>1</xm:f>
              </x14:cfvo>
              <x14:cfvo type="num">
                <xm:f>2</xm:f>
              </x14:cfvo>
              <x14:cfIcon iconSet="NoIcons" iconId="0"/>
              <x14:cfIcon iconSet="3Flags" iconId="1"/>
              <x14:cfIcon iconSet="3Signs" iconId="0"/>
            </x14:iconSet>
          </x14:cfRule>
          <xm:sqref>E41</xm:sqref>
        </x14:conditionalFormatting>
        <x14:conditionalFormatting xmlns:xm="http://schemas.microsoft.com/office/excel/2006/main">
          <x14:cfRule type="iconSet" priority="28" id="{EF580695-2419-471D-BDD2-B67E0C5D5861}">
            <x14:iconSet iconSet="3Stars" showValue="0" custom="1">
              <x14:cfvo type="percent">
                <xm:f>0</xm:f>
              </x14:cfvo>
              <x14:cfvo type="num">
                <xm:f>1</xm:f>
              </x14:cfvo>
              <x14:cfvo type="num">
                <xm:f>2</xm:f>
              </x14:cfvo>
              <x14:cfIcon iconSet="NoIcons" iconId="0"/>
              <x14:cfIcon iconSet="3Flags" iconId="1"/>
              <x14:cfIcon iconSet="3Signs" iconId="0"/>
            </x14:iconSet>
          </x14:cfRule>
          <xm:sqref>F41</xm:sqref>
        </x14:conditionalFormatting>
        <x14:conditionalFormatting xmlns:xm="http://schemas.microsoft.com/office/excel/2006/main">
          <x14:cfRule type="iconSet" priority="20" id="{330208CA-9A37-43D1-A105-EA73498203B8}">
            <x14:iconSet iconSet="3Stars" showValue="0" custom="1">
              <x14:cfvo type="percent">
                <xm:f>0</xm:f>
              </x14:cfvo>
              <x14:cfvo type="num">
                <xm:f>1</xm:f>
              </x14:cfvo>
              <x14:cfvo type="num">
                <xm:f>2</xm:f>
              </x14:cfvo>
              <x14:cfIcon iconSet="NoIcons" iconId="0"/>
              <x14:cfIcon iconSet="3Flags" iconId="1"/>
              <x14:cfIcon iconSet="3Signs" iconId="0"/>
            </x14:iconSet>
          </x14:cfRule>
          <xm:sqref>E42</xm:sqref>
        </x14:conditionalFormatting>
        <x14:conditionalFormatting xmlns:xm="http://schemas.microsoft.com/office/excel/2006/main">
          <x14:cfRule type="iconSet" priority="14" id="{4167D180-606C-4865-8833-CD22247089E2}">
            <x14:iconSet iconSet="3Stars" showValue="0" custom="1">
              <x14:cfvo type="percent">
                <xm:f>0</xm:f>
              </x14:cfvo>
              <x14:cfvo type="num">
                <xm:f>1</xm:f>
              </x14:cfvo>
              <x14:cfvo type="num">
                <xm:f>2</xm:f>
              </x14:cfvo>
              <x14:cfIcon iconSet="NoIcons" iconId="0"/>
              <x14:cfIcon iconSet="3Flags" iconId="1"/>
              <x14:cfIcon iconSet="3Signs" iconId="0"/>
            </x14:iconSet>
          </x14:cfRule>
          <xm:sqref>G38</xm:sqref>
        </x14:conditionalFormatting>
        <x14:conditionalFormatting xmlns:xm="http://schemas.microsoft.com/office/excel/2006/main">
          <x14:cfRule type="iconSet" priority="3784" id="{413D326F-2EF3-4278-AF66-21132877C8CF}">
            <x14:iconSet iconSet="3Stars" showValue="0" custom="1">
              <x14:cfvo type="percent">
                <xm:f>0</xm:f>
              </x14:cfvo>
              <x14:cfvo type="num">
                <xm:f>1</xm:f>
              </x14:cfvo>
              <x14:cfvo type="num">
                <xm:f>2</xm:f>
              </x14:cfvo>
              <x14:cfIcon iconSet="NoIcons" iconId="0"/>
              <x14:cfIcon iconSet="3Flags" iconId="1"/>
              <x14:cfIcon iconSet="3Signs" iconId="0"/>
            </x14:iconSet>
          </x14:cfRule>
          <xm:sqref>E44:F44</xm:sqref>
        </x14:conditionalFormatting>
        <x14:conditionalFormatting xmlns:xm="http://schemas.microsoft.com/office/excel/2006/main">
          <x14:cfRule type="iconSet" priority="3785" id="{A49C4EA5-645B-43F0-BA1B-543C517A6918}">
            <x14:iconSet iconSet="3Stars" showValue="0" custom="1">
              <x14:cfvo type="percent">
                <xm:f>0</xm:f>
              </x14:cfvo>
              <x14:cfvo type="num">
                <xm:f>1</xm:f>
              </x14:cfvo>
              <x14:cfvo type="num">
                <xm:f>2</xm:f>
              </x14:cfvo>
              <x14:cfIcon iconSet="NoIcons" iconId="0"/>
              <x14:cfIcon iconSet="3Flags" iconId="1"/>
              <x14:cfIcon iconSet="3Signs" iconId="0"/>
            </x14:iconSet>
          </x14:cfRule>
          <xm:sqref>G44</xm:sqref>
        </x14:conditionalFormatting>
        <x14:conditionalFormatting xmlns:xm="http://schemas.microsoft.com/office/excel/2006/main">
          <x14:cfRule type="iconSet" priority="3786" id="{64D20B07-560A-4CDD-98FE-F4A95294BA74}">
            <x14:iconSet iconSet="3Stars" showValue="0" custom="1">
              <x14:cfvo type="percent">
                <xm:f>0</xm:f>
              </x14:cfvo>
              <x14:cfvo type="num">
                <xm:f>1</xm:f>
              </x14:cfvo>
              <x14:cfvo type="num">
                <xm:f>2</xm:f>
              </x14:cfvo>
              <x14:cfIcon iconSet="NoIcons" iconId="0"/>
              <x14:cfIcon iconSet="3Flags" iconId="1"/>
              <x14:cfIcon iconSet="3Signs" iconId="0"/>
            </x14:iconSet>
          </x14:cfRule>
          <xm:sqref>AI44:AJ44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B661-DD60-4543-A2C7-5E53F99FCD6E}">
  <dimension ref="A1"/>
  <sheetViews>
    <sheetView showGridLines="0" topLeftCell="A10" zoomScale="60" zoomScaleNormal="60" workbookViewId="0">
      <selection activeCell="Z17" sqref="Z17"/>
    </sheetView>
  </sheetViews>
  <sheetFormatPr defaultRowHeight="14.5" x14ac:dyDescent="0.35"/>
  <sheetData/>
  <pageMargins left="0.7" right="0.7" top="0.75" bottom="0.75" header="0.3" footer="0.3"/>
  <pageSetup paperSize="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060724-9CA2-4290-8A0C-B53624A594E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2023 TM Planner </vt:lpstr>
      <vt:lpstr>2023 Activity</vt:lpstr>
      <vt:lpstr>'2023 TM Planner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2022-12-20T13:00:08Z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