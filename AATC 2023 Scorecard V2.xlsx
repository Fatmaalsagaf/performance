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d:\Users\ShaheenL\Desktop\"/>
    </mc:Choice>
  </mc:AlternateContent>
  <xr:revisionPtr revIDLastSave="0" documentId="8_{99666B55-DD24-4A44-8D53-98B4D62F1395}" xr6:coauthVersionLast="47" xr6:coauthVersionMax="47" xr10:uidLastSave="{00000000-0000-0000-0000-000000000000}"/>
  <bookViews>
    <workbookView xWindow="-108" yWindow="-108" windowWidth="23256" windowHeight="12576" xr2:uid="{00000000-000D-0000-FFFF-FFFF00000000}"/>
  </bookViews>
  <sheets>
    <sheet name="Scorecard" sheetId="3" r:id="rId1"/>
  </sheets>
  <definedNames>
    <definedName name="Actuals">#REF!</definedName>
    <definedName name="_xlnm.Print_Area" localSheetId="0">Scorecard!$C$1:$J$37</definedName>
    <definedName name="Target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3" l="1"/>
  <c r="H26" i="3" l="1"/>
  <c r="H27" i="3" l="1"/>
  <c r="H8" i="3"/>
  <c r="H9" i="3"/>
  <c r="H10" i="3"/>
  <c r="H11" i="3"/>
  <c r="H12" i="3"/>
  <c r="D23" i="3"/>
  <c r="D28" i="3"/>
  <c r="H32" i="3"/>
  <c r="H34" i="3"/>
  <c r="D36" i="3" l="1"/>
  <c r="H13" i="3"/>
  <c r="G37" i="3" s="1"/>
  <c r="H35" i="3"/>
  <c r="H28" i="3"/>
  <c r="H23" i="3"/>
  <c r="H37" i="3" l="1"/>
</calcChain>
</file>

<file path=xl/sharedStrings.xml><?xml version="1.0" encoding="utf-8"?>
<sst xmlns="http://schemas.openxmlformats.org/spreadsheetml/2006/main" count="69" uniqueCount="49">
  <si>
    <t>Organization</t>
  </si>
  <si>
    <t>Al-Futtaim Automotive Talent Centre</t>
  </si>
  <si>
    <t>AL-FUTTAIM GROUP</t>
  </si>
  <si>
    <t>BALANCED SCORECARD</t>
  </si>
  <si>
    <t>FINANCIAL PERSPECTIVE</t>
  </si>
  <si>
    <t>OBJECTIVE/KPI</t>
  </si>
  <si>
    <t>WEIGHTAGE</t>
  </si>
  <si>
    <t>TARGET</t>
  </si>
  <si>
    <t xml:space="preserve"> ACHIEVEMENT</t>
  </si>
  <si>
    <t xml:space="preserve"> ACHIEVEMENT %</t>
  </si>
  <si>
    <t>WEIGHTED ACHIEVEMENT</t>
  </si>
  <si>
    <t>COMMENTS</t>
  </si>
  <si>
    <t>Total Financial</t>
  </si>
  <si>
    <t>Financial Achievement for each CoE and Brand Business as agreed.  AATC to operate within the agreed Financial framework</t>
  </si>
  <si>
    <t>BUSINESS PROCESS PERSPECTIVE</t>
  </si>
  <si>
    <r>
      <rPr>
        <b/>
        <sz val="11"/>
        <rFont val="Arial"/>
        <family val="2"/>
      </rPr>
      <t xml:space="preserve">Learning and Development 
</t>
    </r>
    <r>
      <rPr>
        <sz val="11"/>
        <rFont val="Arial"/>
        <family val="2"/>
      </rPr>
      <t xml:space="preserve">
</t>
    </r>
    <r>
      <rPr>
        <sz val="10"/>
        <rFont val="Arial"/>
        <family val="2"/>
      </rPr>
      <t>1.Provide learning content to meet the needs identified in BNA and IDP outside of brand requirements</t>
    </r>
  </si>
  <si>
    <t>1.Provide access to a menu of learning by the 8 March 2023
2. Direct learners to relevant content per the BNA via monthly updates 
3.Achieve 85% attendance on all ILT programmes delivered</t>
  </si>
  <si>
    <t>2.Support adoption of Business Transformation changes through L&amp;D activities e.g. new system roll-outs; optimised ways of working</t>
  </si>
  <si>
    <t xml:space="preserve">1. Complete implementation for all 2023 projects as agreed with the HRD 
</t>
  </si>
  <si>
    <t>Examples at Feb 2023: C4C CRM roll-out; Autorolla Digital Appraisal for Used Cars; Sales Optimisation SOP awareness</t>
  </si>
  <si>
    <t xml:space="preserve">3.Align Automotive Group Technician Capability standards and governance </t>
  </si>
  <si>
    <t>1.Obtain Group A/S MD and President approval for AFA Technician Accreditation and Total Awards Recommendations-May 2023. 
2.100% Master Technicians assessed and aligned to New Group Standard and revised  Total Rewards strategy.
3. Implement New Accreditation levels from June 2023.</t>
  </si>
  <si>
    <t>4. Establish Electric Vehicle training offering and facilities accredited by Institute of Motor Industry</t>
  </si>
  <si>
    <t xml:space="preserve">1.AATC accredited as an IMI Approve Centre - May 2023.  
2.EV Training = IMI Accredited to be launched June 2023
3.100% technical trainers accredited to IMI standard Level 3 and Level 4 - May 2023
4. Implement EV Standards for EV Staff from June 2023 and build AATC Delivery Capability </t>
  </si>
  <si>
    <t>5. Achieve all Brand and CoE Contracted Staff Accreditation</t>
  </si>
  <si>
    <t>1.Deliver and Report against all CoE (BNA Output) and Brand Principal Contracted Targets. Technical, Body and Paint, Sales and AfterSales.  
2. Meet all new Product launch Training Objectives - 17 New Models to be launch in the UAE in 2023</t>
  </si>
  <si>
    <r>
      <rPr>
        <b/>
        <sz val="10"/>
        <rFont val="Arial"/>
        <family val="2"/>
      </rPr>
      <t xml:space="preserve">Leadership Competence
</t>
    </r>
    <r>
      <rPr>
        <sz val="10"/>
        <rFont val="Arial"/>
        <family val="2"/>
      </rPr>
      <t>Enable adoption of the Al-Futtaim Leadership Model in Automotive</t>
    </r>
  </si>
  <si>
    <t xml:space="preserve">1. Provide 1 training on the model to Talent Acquisition by 31 March 2023
2. Provide a session to the Executive by 31 March 2023 to secure commitment
3. Run at least 3 communications through the year to raise awareness of the model and toolkit
4. Enroll at least 100 band G-H managers in Level 1 Journeys by year-end and pilot Level 2 in Q2
</t>
  </si>
  <si>
    <r>
      <t xml:space="preserve">Performance Management
</t>
    </r>
    <r>
      <rPr>
        <sz val="10"/>
        <rFont val="Arial"/>
        <family val="2"/>
      </rPr>
      <t>1.Provide training on PM process, tools and implementation for all Automotive associates</t>
    </r>
  </si>
  <si>
    <t>1.Increase adoption of CPM to 75% in 2023
2.100% Goal setting completed and uploaded in iGrow
3.Provide quartely enablement sessions in line with key stages of the annual process (Goal-setting, IDP &amp; Career Conversations, CPM, EYR</t>
  </si>
  <si>
    <t>Total Business Process</t>
  </si>
  <si>
    <t>MARKET PERSPECTIVE</t>
  </si>
  <si>
    <r>
      <rPr>
        <b/>
        <sz val="11"/>
        <rFont val="Arial"/>
        <family val="2"/>
      </rPr>
      <t xml:space="preserve">Emiratisation
</t>
    </r>
    <r>
      <rPr>
        <sz val="10"/>
        <rFont val="Arial"/>
        <family val="2"/>
      </rPr>
      <t xml:space="preserve">
1.Enable Emirati Growth and Development - Talent Management and L&amp;D Strategy</t>
    </r>
  </si>
  <si>
    <t xml:space="preserve">
1.100% UAE Nationals have a live IDP and action plan reviews done quarterly 
2.100% LM’s of UAE nationals utilise CPM at least twice a year and trained in CPM, IDP, Coaching and Career Conversations
</t>
  </si>
  <si>
    <r>
      <rPr>
        <b/>
        <sz val="11"/>
        <rFont val="Arial"/>
        <family val="2"/>
      </rPr>
      <t xml:space="preserve">Awards and Recognition
</t>
    </r>
    <r>
      <rPr>
        <sz val="10"/>
        <rFont val="Arial"/>
        <family val="2"/>
      </rPr>
      <t xml:space="preserve">
1.Consistency in Skills Contest events and align brand skills contests to one Al-Futtaim Automotive approach
2.Lead the governance of the awards across Automotive through utilization of standardised tools and resources applicable
</t>
    </r>
  </si>
  <si>
    <t xml:space="preserve">
1. Deliver at least 3 national skills contests across the brands in 2023
2. AF Values awards conducted twice a year for all the brands and businesses across Automotive 
</t>
  </si>
  <si>
    <t>Total Market</t>
  </si>
  <si>
    <t>PEOPLE PERSPECTIVE</t>
  </si>
  <si>
    <r>
      <rPr>
        <b/>
        <sz val="10"/>
        <rFont val="Arial"/>
        <family val="2"/>
      </rPr>
      <t xml:space="preserve">Automotive Induction 
</t>
    </r>
    <r>
      <rPr>
        <sz val="10"/>
        <rFont val="Arial"/>
        <family val="2"/>
      </rPr>
      <t>1.Provide a welcome to Al-Futtaim
2.Provide an overview of the automotive industry and mobility</t>
    </r>
  </si>
  <si>
    <t>1.85% associates particpate in the Embark programme within 60 days of joining
2.Automotive 101 Sinyar 100% Participation and other New joiners 65% participation</t>
  </si>
  <si>
    <r>
      <rPr>
        <b/>
        <sz val="11"/>
        <rFont val="Arial"/>
        <family val="2"/>
      </rPr>
      <t xml:space="preserve">Talent Management
</t>
    </r>
    <r>
      <rPr>
        <sz val="10"/>
        <rFont val="Arial"/>
        <family val="2"/>
      </rPr>
      <t xml:space="preserve">
Talent ManagementFuture proof the roles and individuals that will enable Automotive to fulfill the value agenda
</t>
    </r>
  </si>
  <si>
    <t xml:space="preserve">
1.Deliver successfully and on time all agreed 2023 milestones for Talent to Value as agreed with the Automotive President and the HRC (assessments, succession, IDPs).
2. Co-develop a framework to complement current Talent Management process to identify critical roles in each business unit by mid of Q2.
3. Complete tailored IDPs and action plans for top talent and associates identified for succession planning by Q2 and see action plans to closure by Q4</t>
  </si>
  <si>
    <r>
      <t xml:space="preserve">Instutionalise Auto HR
</t>
    </r>
    <r>
      <rPr>
        <sz val="10"/>
        <rFont val="Arial"/>
        <family val="2"/>
      </rPr>
      <t xml:space="preserve">Auto HR Community Development 
Talent and Leadership Integration 
</t>
    </r>
    <r>
      <rPr>
        <b/>
        <sz val="10"/>
        <rFont val="Arial"/>
        <family val="2"/>
      </rPr>
      <t xml:space="preserve">
</t>
    </r>
  </si>
  <si>
    <t>Twice yearly Strategic workshop
1.Post BNA and Budget  March 2023
2.Pre annual BNA workshop August 2023</t>
  </si>
  <si>
    <r>
      <t xml:space="preserve">Engagement
</t>
    </r>
    <r>
      <rPr>
        <sz val="10"/>
        <rFont val="Arial"/>
        <family val="2"/>
      </rPr>
      <t xml:space="preserve">1.Divisional wide increase in favourability score </t>
    </r>
    <r>
      <rPr>
        <b/>
        <sz val="11"/>
        <rFont val="Arial"/>
        <family val="2"/>
      </rPr>
      <t xml:space="preserve"> 
</t>
    </r>
  </si>
  <si>
    <t>1.All divisional Impact Plans completed, regularly communicating status and outcomes achieved
2. Increase in scores overall &amp; focused areas by 2 base points - 84% in 2023
3.80 % Business Unit Action plans captured
4.80 % Line Manager Action plans captured</t>
  </si>
  <si>
    <t>Total People</t>
  </si>
  <si>
    <t>Total Weightage</t>
  </si>
  <si>
    <t>Overall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</si>
</sst>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9" x14ac:knownFonts="1">
    <font>
      <sz val="10"/>
      <name val="Arial"/>
    </font>
    <font>
      <sz val="10"/>
      <name val="Arial"/>
      <family val="2"/>
    </font>
    <font>
      <sz val="22"/>
      <name val="Arial"/>
      <family val="2"/>
    </font>
    <font>
      <sz val="22"/>
      <color indexed="9"/>
      <name val="Arial"/>
      <family val="2"/>
    </font>
    <font>
      <b/>
      <sz val="18"/>
      <color indexed="10"/>
      <name val="Arial"/>
      <family val="2"/>
    </font>
    <font>
      <b/>
      <sz val="18"/>
      <color indexed="9"/>
      <name val="Arial"/>
      <family val="2"/>
    </font>
    <font>
      <sz val="18"/>
      <name val="Arial"/>
      <family val="2"/>
    </font>
    <font>
      <sz val="16"/>
      <color indexed="9"/>
      <name val="Arial"/>
      <family val="2"/>
    </font>
    <font>
      <sz val="10"/>
      <name val="Arial"/>
      <family val="2"/>
    </font>
    <font>
      <b/>
      <sz val="12"/>
      <name val="Arial"/>
      <family val="2"/>
    </font>
    <font>
      <b/>
      <sz val="12"/>
      <color indexed="9"/>
      <name val="Arial"/>
      <family val="2"/>
    </font>
    <font>
      <b/>
      <sz val="11"/>
      <name val="Arial"/>
      <family val="2"/>
    </font>
    <font>
      <b/>
      <sz val="18"/>
      <name val="Arial"/>
      <family val="2"/>
    </font>
    <font>
      <sz val="8"/>
      <name val="Arial"/>
      <family val="2"/>
    </font>
    <font>
      <b/>
      <sz val="10"/>
      <name val="Arial"/>
      <family val="2"/>
    </font>
    <font>
      <b/>
      <sz val="20"/>
      <color indexed="9"/>
      <name val="Arial"/>
      <family val="2"/>
    </font>
    <font>
      <b/>
      <sz val="20"/>
      <color rgb="FF00B0F0"/>
      <name val="Arial"/>
      <family val="2"/>
    </font>
    <font>
      <sz val="10"/>
      <color rgb="FF000000"/>
      <name val="Arial"/>
      <family val="2"/>
    </font>
    <font>
      <sz val="11"/>
      <name val="Arial"/>
      <family val="2"/>
    </font>
  </fonts>
  <fills count="8">
    <fill>
      <patternFill patternType="none"/>
    </fill>
    <fill>
      <patternFill patternType="gray125"/>
    </fill>
    <fill>
      <patternFill patternType="solid">
        <fgColor indexed="22"/>
        <bgColor indexed="64"/>
      </patternFill>
    </fill>
    <fill>
      <patternFill patternType="lightUp">
        <bgColor indexed="22"/>
      </patternFill>
    </fill>
    <fill>
      <patternFill patternType="solid">
        <fgColor theme="0"/>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249977111117893"/>
        <bgColor indexed="64"/>
      </patternFill>
    </fill>
  </fills>
  <borders count="34">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theme="0"/>
      </top>
      <bottom style="thin">
        <color theme="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bottom style="thin">
        <color theme="0"/>
      </bottom>
      <diagonal/>
    </border>
    <border>
      <left style="medium">
        <color rgb="FF000000"/>
      </left>
      <right style="medium">
        <color rgb="FF000000"/>
      </right>
      <top/>
      <bottom style="medium">
        <color rgb="FF000000"/>
      </bottom>
      <diagonal/>
    </border>
    <border>
      <left style="medium">
        <color theme="1"/>
      </left>
      <right style="medium">
        <color theme="1"/>
      </right>
      <top/>
      <bottom style="medium">
        <color theme="1"/>
      </bottom>
      <diagonal/>
    </border>
    <border>
      <left/>
      <right/>
      <top style="medium">
        <color theme="1"/>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top style="medium">
        <color rgb="FF000000"/>
      </top>
      <bottom/>
      <diagonal/>
    </border>
  </borders>
  <cellStyleXfs count="4">
    <xf numFmtId="0" fontId="0" fillId="0" borderId="0"/>
    <xf numFmtId="43" fontId="1"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cellStyleXfs>
  <cellXfs count="145">
    <xf numFmtId="0" fontId="0" fillId="0" borderId="0" xfId="0"/>
    <xf numFmtId="0" fontId="2" fillId="0" borderId="0" xfId="0" applyFont="1"/>
    <xf numFmtId="0" fontId="6" fillId="0" borderId="0" xfId="0" applyFont="1"/>
    <xf numFmtId="0" fontId="9" fillId="0" borderId="0" xfId="0" applyFont="1"/>
    <xf numFmtId="0" fontId="8" fillId="0" borderId="0" xfId="0" applyFont="1"/>
    <xf numFmtId="0" fontId="0" fillId="0" borderId="0" xfId="0" applyAlignment="1">
      <alignment horizontal="right"/>
    </xf>
    <xf numFmtId="164" fontId="0" fillId="0" borderId="0" xfId="1" applyNumberFormat="1" applyFont="1" applyAlignment="1">
      <alignment horizontal="right"/>
    </xf>
    <xf numFmtId="0" fontId="9" fillId="4" borderId="1" xfId="0" applyFont="1" applyFill="1" applyBorder="1"/>
    <xf numFmtId="0" fontId="0" fillId="4" borderId="1" xfId="0" applyFill="1" applyBorder="1"/>
    <xf numFmtId="0" fontId="2" fillId="4" borderId="2" xfId="0" applyFont="1" applyFill="1" applyBorder="1"/>
    <xf numFmtId="0" fontId="2" fillId="4" borderId="4" xfId="0" applyFont="1" applyFill="1" applyBorder="1"/>
    <xf numFmtId="0" fontId="3" fillId="4" borderId="5" xfId="0" applyFont="1" applyFill="1" applyBorder="1"/>
    <xf numFmtId="0" fontId="3" fillId="4" borderId="5" xfId="0" applyFont="1" applyFill="1" applyBorder="1" applyAlignment="1">
      <alignment horizontal="right"/>
    </xf>
    <xf numFmtId="164" fontId="4" fillId="4" borderId="5" xfId="1" applyNumberFormat="1" applyFont="1" applyFill="1" applyBorder="1" applyAlignment="1">
      <alignment horizontal="right"/>
    </xf>
    <xf numFmtId="0" fontId="4" fillId="4" borderId="5" xfId="0" applyFont="1" applyFill="1" applyBorder="1" applyAlignment="1">
      <alignment horizontal="right"/>
    </xf>
    <xf numFmtId="0" fontId="2" fillId="4" borderId="6" xfId="0" applyFont="1" applyFill="1" applyBorder="1"/>
    <xf numFmtId="0" fontId="6" fillId="4" borderId="7" xfId="0" applyFont="1" applyFill="1" applyBorder="1"/>
    <xf numFmtId="0" fontId="9" fillId="4" borderId="7" xfId="0" applyFont="1" applyFill="1" applyBorder="1"/>
    <xf numFmtId="0" fontId="0" fillId="4" borderId="7" xfId="0" applyFill="1" applyBorder="1"/>
    <xf numFmtId="0" fontId="3" fillId="4" borderId="8" xfId="0" applyFont="1" applyFill="1" applyBorder="1"/>
    <xf numFmtId="0" fontId="3" fillId="4" borderId="9" xfId="0" applyFont="1" applyFill="1" applyBorder="1" applyAlignment="1">
      <alignment horizontal="right"/>
    </xf>
    <xf numFmtId="0" fontId="5" fillId="4" borderId="8" xfId="0" applyFont="1" applyFill="1" applyBorder="1" applyProtection="1">
      <protection locked="0"/>
    </xf>
    <xf numFmtId="0" fontId="5" fillId="4" borderId="10" xfId="0" applyFont="1" applyFill="1" applyBorder="1" applyProtection="1">
      <protection locked="0"/>
    </xf>
    <xf numFmtId="0" fontId="5" fillId="4" borderId="1" xfId="0" applyFont="1" applyFill="1" applyBorder="1" applyProtection="1">
      <protection locked="0"/>
    </xf>
    <xf numFmtId="0" fontId="7" fillId="5" borderId="7" xfId="0" applyFont="1" applyFill="1" applyBorder="1" applyAlignment="1">
      <alignment horizontal="left" vertical="center"/>
    </xf>
    <xf numFmtId="0" fontId="7" fillId="5" borderId="0" xfId="0" applyFont="1" applyFill="1" applyAlignment="1">
      <alignment horizontal="left" vertical="center"/>
    </xf>
    <xf numFmtId="0" fontId="7" fillId="5" borderId="1" xfId="0" applyFont="1" applyFill="1" applyBorder="1" applyAlignment="1">
      <alignment horizontal="left" vertical="center"/>
    </xf>
    <xf numFmtId="0" fontId="11" fillId="4" borderId="7" xfId="0" applyFont="1" applyFill="1" applyBorder="1"/>
    <xf numFmtId="0" fontId="11" fillId="4" borderId="1" xfId="0" applyFont="1" applyFill="1" applyBorder="1"/>
    <xf numFmtId="0" fontId="11" fillId="0" borderId="0" xfId="0" applyFont="1"/>
    <xf numFmtId="0" fontId="11" fillId="4" borderId="7" xfId="0" applyFont="1" applyFill="1" applyBorder="1" applyAlignment="1">
      <alignment vertical="center"/>
    </xf>
    <xf numFmtId="0" fontId="11" fillId="4" borderId="1" xfId="0" applyFont="1" applyFill="1" applyBorder="1" applyAlignment="1">
      <alignment vertical="center"/>
    </xf>
    <xf numFmtId="0" fontId="11" fillId="0" borderId="0" xfId="0" applyFont="1" applyAlignment="1">
      <alignment vertical="center"/>
    </xf>
    <xf numFmtId="165" fontId="11" fillId="0" borderId="11" xfId="3" applyNumberFormat="1" applyFont="1" applyFill="1" applyBorder="1" applyAlignment="1">
      <alignment horizontal="center" vertical="center" wrapText="1"/>
    </xf>
    <xf numFmtId="165" fontId="11" fillId="0" borderId="11" xfId="1" applyNumberFormat="1" applyFont="1" applyFill="1" applyBorder="1" applyAlignment="1">
      <alignment horizontal="center" vertical="center" wrapText="1"/>
    </xf>
    <xf numFmtId="165" fontId="11" fillId="0" borderId="14" xfId="1" applyNumberFormat="1" applyFont="1" applyFill="1" applyBorder="1" applyAlignment="1">
      <alignment horizontal="center" vertical="center" wrapText="1"/>
    </xf>
    <xf numFmtId="0" fontId="0" fillId="0" borderId="7" xfId="0" applyBorder="1"/>
    <xf numFmtId="0" fontId="0" fillId="0" borderId="1" xfId="0" applyBorder="1"/>
    <xf numFmtId="0" fontId="8" fillId="0" borderId="0" xfId="0" applyFont="1" applyAlignment="1">
      <alignment horizontal="center"/>
    </xf>
    <xf numFmtId="0" fontId="12" fillId="4" borderId="8" xfId="0" applyFont="1" applyFill="1" applyBorder="1" applyAlignment="1" applyProtection="1">
      <alignment horizontal="center"/>
      <protection locked="0"/>
    </xf>
    <xf numFmtId="0" fontId="12" fillId="4" borderId="0" xfId="0" applyFont="1" applyFill="1" applyAlignment="1" applyProtection="1">
      <alignment horizontal="center"/>
      <protection locked="0"/>
    </xf>
    <xf numFmtId="0" fontId="13" fillId="0" borderId="1" xfId="0" applyFont="1" applyBorder="1" applyAlignment="1">
      <alignment horizontal="center" wrapText="1"/>
    </xf>
    <xf numFmtId="0" fontId="11" fillId="0" borderId="10" xfId="0" applyFont="1" applyBorder="1" applyAlignment="1">
      <alignment horizontal="center" vertical="center" wrapText="1"/>
    </xf>
    <xf numFmtId="0" fontId="11" fillId="0" borderId="17" xfId="0" applyFont="1" applyBorder="1" applyAlignment="1">
      <alignment horizontal="center" vertical="center" wrapText="1"/>
    </xf>
    <xf numFmtId="0" fontId="12" fillId="4" borderId="5" xfId="0" applyFont="1" applyFill="1" applyBorder="1" applyAlignment="1" applyProtection="1">
      <alignment horizontal="center"/>
      <protection locked="0"/>
    </xf>
    <xf numFmtId="164" fontId="1" fillId="0" borderId="3" xfId="1" applyNumberFormat="1" applyFont="1" applyFill="1" applyBorder="1" applyAlignment="1">
      <alignment horizontal="right" wrapText="1"/>
    </xf>
    <xf numFmtId="0" fontId="13" fillId="0" borderId="15" xfId="0" applyFont="1" applyBorder="1" applyAlignment="1">
      <alignment horizontal="center" vertical="center" wrapText="1"/>
    </xf>
    <xf numFmtId="0" fontId="1" fillId="0" borderId="1" xfId="0" applyFont="1" applyBorder="1" applyAlignment="1">
      <alignment horizontal="center" wrapText="1"/>
    </xf>
    <xf numFmtId="17" fontId="1" fillId="0" borderId="7" xfId="0" applyNumberFormat="1" applyFont="1" applyBorder="1" applyAlignment="1">
      <alignment vertical="center" wrapText="1"/>
    </xf>
    <xf numFmtId="164" fontId="11" fillId="3" borderId="15" xfId="1" applyNumberFormat="1" applyFont="1" applyFill="1" applyBorder="1" applyAlignment="1">
      <alignment horizontal="center" vertical="center" wrapText="1"/>
    </xf>
    <xf numFmtId="17" fontId="11" fillId="0" borderId="12" xfId="0" applyNumberFormat="1" applyFont="1" applyBorder="1" applyAlignment="1">
      <alignment horizontal="center" vertical="center" wrapText="1"/>
    </xf>
    <xf numFmtId="17" fontId="11" fillId="0" borderId="6" xfId="0" applyNumberFormat="1" applyFont="1" applyBorder="1" applyAlignment="1">
      <alignment horizontal="center" vertical="center" wrapText="1"/>
    </xf>
    <xf numFmtId="165" fontId="11" fillId="0" borderId="13" xfId="1" applyNumberFormat="1" applyFont="1" applyFill="1" applyBorder="1" applyAlignment="1">
      <alignment horizontal="center" vertical="center" wrapText="1"/>
    </xf>
    <xf numFmtId="0" fontId="11" fillId="0" borderId="2" xfId="0" applyFont="1" applyBorder="1" applyAlignment="1">
      <alignment horizontal="center" vertical="center" wrapText="1"/>
    </xf>
    <xf numFmtId="17" fontId="11" fillId="0" borderId="21" xfId="0" applyNumberFormat="1" applyFont="1" applyBorder="1" applyAlignment="1">
      <alignment horizontal="center" vertical="center" wrapText="1"/>
    </xf>
    <xf numFmtId="0" fontId="1" fillId="0" borderId="21" xfId="0" applyFont="1" applyBorder="1" applyAlignment="1">
      <alignment horizontal="center" wrapText="1"/>
    </xf>
    <xf numFmtId="164" fontId="1" fillId="2" borderId="21" xfId="1" applyNumberFormat="1" applyFont="1" applyFill="1" applyBorder="1" applyAlignment="1">
      <alignment horizontal="left" vertical="center" wrapText="1"/>
    </xf>
    <xf numFmtId="164" fontId="1" fillId="0" borderId="21" xfId="1" applyNumberFormat="1" applyFont="1" applyFill="1" applyBorder="1" applyAlignment="1">
      <alignment horizontal="center" wrapText="1"/>
    </xf>
    <xf numFmtId="164" fontId="1" fillId="0" borderId="21" xfId="1" applyNumberFormat="1" applyFont="1" applyFill="1" applyBorder="1" applyAlignment="1">
      <alignment horizontal="center" vertical="center" wrapText="1"/>
    </xf>
    <xf numFmtId="0" fontId="1" fillId="0" borderId="21" xfId="0" applyFont="1" applyBorder="1" applyAlignment="1">
      <alignment horizontal="center" vertical="center" wrapText="1"/>
    </xf>
    <xf numFmtId="165" fontId="1" fillId="0" borderId="21" xfId="3" applyNumberFormat="1" applyFont="1" applyFill="1" applyBorder="1" applyAlignment="1">
      <alignment horizontal="center" vertical="center" wrapText="1"/>
    </xf>
    <xf numFmtId="165" fontId="11" fillId="0" borderId="21" xfId="3" applyNumberFormat="1" applyFont="1" applyFill="1" applyBorder="1" applyAlignment="1">
      <alignment horizontal="center" vertical="center" wrapText="1"/>
    </xf>
    <xf numFmtId="165" fontId="11" fillId="0" borderId="21" xfId="1" applyNumberFormat="1" applyFont="1" applyFill="1" applyBorder="1" applyAlignment="1">
      <alignment horizontal="center" vertical="center" wrapText="1"/>
    </xf>
    <xf numFmtId="0" fontId="11" fillId="0" borderId="21" xfId="0" applyFont="1" applyBorder="1" applyAlignment="1">
      <alignment horizontal="center" vertical="center" wrapText="1"/>
    </xf>
    <xf numFmtId="165" fontId="1" fillId="0" borderId="10" xfId="3" applyNumberFormat="1" applyFont="1" applyFill="1" applyBorder="1" applyAlignment="1">
      <alignment horizontal="center" vertical="center" wrapText="1"/>
    </xf>
    <xf numFmtId="0" fontId="14" fillId="0" borderId="21" xfId="0" applyFont="1" applyBorder="1" applyAlignment="1">
      <alignment horizontal="center" vertical="center" wrapText="1"/>
    </xf>
    <xf numFmtId="9" fontId="1" fillId="2" borderId="21" xfId="3" applyFont="1" applyFill="1" applyBorder="1" applyAlignment="1">
      <alignment horizontal="center" vertical="center" wrapText="1"/>
    </xf>
    <xf numFmtId="0" fontId="1" fillId="0" borderId="21" xfId="0" applyFont="1" applyBorder="1" applyAlignment="1">
      <alignment vertical="center" wrapText="1"/>
    </xf>
    <xf numFmtId="164" fontId="1" fillId="0" borderId="21" xfId="1" applyNumberFormat="1" applyFont="1" applyFill="1" applyBorder="1" applyAlignment="1">
      <alignment horizontal="right" vertical="center" wrapText="1"/>
    </xf>
    <xf numFmtId="17" fontId="11" fillId="0" borderId="9" xfId="0" applyNumberFormat="1" applyFont="1" applyBorder="1" applyAlignment="1">
      <alignment horizontal="center" vertical="center" wrapText="1"/>
    </xf>
    <xf numFmtId="165" fontId="11" fillId="0" borderId="2" xfId="3" applyNumberFormat="1" applyFont="1" applyFill="1" applyBorder="1" applyAlignment="1">
      <alignment horizontal="center" vertical="center" wrapText="1"/>
    </xf>
    <xf numFmtId="0" fontId="11" fillId="0" borderId="21" xfId="0" applyFont="1" applyBorder="1" applyAlignment="1">
      <alignment horizontal="center" vertical="center"/>
    </xf>
    <xf numFmtId="165" fontId="11" fillId="0" borderId="25" xfId="3" applyNumberFormat="1" applyFont="1" applyFill="1" applyBorder="1" applyAlignment="1">
      <alignment horizontal="center" vertical="center" wrapText="1"/>
    </xf>
    <xf numFmtId="0" fontId="1" fillId="0" borderId="0" xfId="0" applyFont="1" applyAlignment="1">
      <alignment horizontal="center"/>
    </xf>
    <xf numFmtId="0" fontId="1" fillId="4" borderId="7" xfId="0" applyFont="1" applyFill="1" applyBorder="1"/>
    <xf numFmtId="0" fontId="1" fillId="4" borderId="3" xfId="0" applyFont="1" applyFill="1" applyBorder="1"/>
    <xf numFmtId="0" fontId="1" fillId="0" borderId="0" xfId="0" applyFont="1"/>
    <xf numFmtId="0" fontId="1" fillId="0" borderId="10" xfId="0" applyFont="1" applyBorder="1" applyAlignment="1">
      <alignment horizontal="center" wrapText="1"/>
    </xf>
    <xf numFmtId="0" fontId="1" fillId="4" borderId="1" xfId="0" applyFont="1" applyFill="1" applyBorder="1"/>
    <xf numFmtId="165" fontId="1" fillId="0" borderId="3" xfId="3" applyNumberFormat="1" applyFont="1" applyFill="1" applyBorder="1" applyAlignment="1">
      <alignment horizontal="center" vertical="center" wrapText="1"/>
    </xf>
    <xf numFmtId="164" fontId="1" fillId="2" borderId="23" xfId="1" applyNumberFormat="1" applyFont="1" applyFill="1" applyBorder="1" applyAlignment="1">
      <alignment horizontal="left" vertical="center" wrapText="1"/>
    </xf>
    <xf numFmtId="164" fontId="1" fillId="0" borderId="3" xfId="1" applyNumberFormat="1" applyFont="1" applyFill="1" applyBorder="1" applyAlignment="1">
      <alignment horizontal="right" vertical="center" wrapText="1"/>
    </xf>
    <xf numFmtId="9" fontId="1" fillId="2" borderId="23" xfId="3" applyFont="1" applyFill="1" applyBorder="1" applyAlignment="1">
      <alignment horizontal="center" vertical="center" wrapText="1"/>
    </xf>
    <xf numFmtId="164" fontId="1" fillId="2" borderId="3" xfId="1" applyNumberFormat="1" applyFont="1" applyFill="1" applyBorder="1" applyAlignment="1">
      <alignment horizontal="left" vertical="center" wrapText="1"/>
    </xf>
    <xf numFmtId="9" fontId="1" fillId="2" borderId="3" xfId="3" applyFont="1" applyFill="1" applyBorder="1" applyAlignment="1">
      <alignment horizontal="center" vertical="center" wrapText="1"/>
    </xf>
    <xf numFmtId="0" fontId="1" fillId="0" borderId="0" xfId="0" applyFont="1" applyAlignment="1">
      <alignment horizontal="center" vertical="center"/>
    </xf>
    <xf numFmtId="164" fontId="1" fillId="2" borderId="16" xfId="1" applyNumberFormat="1" applyFont="1" applyFill="1" applyBorder="1" applyAlignment="1">
      <alignment horizontal="center" vertical="center" wrapText="1"/>
    </xf>
    <xf numFmtId="9" fontId="1" fillId="2" borderId="16" xfId="3" applyFont="1" applyFill="1" applyBorder="1" applyAlignment="1">
      <alignment horizontal="center" vertical="center" wrapText="1"/>
    </xf>
    <xf numFmtId="165" fontId="1" fillId="0" borderId="13" xfId="3" applyNumberFormat="1" applyFont="1" applyFill="1" applyBorder="1" applyAlignment="1">
      <alignment horizontal="center" vertical="center" wrapText="1"/>
    </xf>
    <xf numFmtId="164" fontId="1" fillId="2" borderId="13" xfId="1" applyNumberFormat="1" applyFont="1" applyFill="1" applyBorder="1" applyAlignment="1">
      <alignment horizontal="center" vertical="center" wrapText="1"/>
    </xf>
    <xf numFmtId="164" fontId="1" fillId="0" borderId="13" xfId="1" applyNumberFormat="1" applyFont="1" applyFill="1" applyBorder="1" applyAlignment="1">
      <alignment horizontal="right" wrapText="1"/>
    </xf>
    <xf numFmtId="9" fontId="1" fillId="2" borderId="13" xfId="3" applyFont="1" applyFill="1" applyBorder="1" applyAlignment="1">
      <alignment horizontal="center" vertical="center" wrapText="1"/>
    </xf>
    <xf numFmtId="0" fontId="1" fillId="0" borderId="2" xfId="0" applyFont="1" applyBorder="1" applyAlignment="1">
      <alignment horizontal="center" wrapText="1"/>
    </xf>
    <xf numFmtId="9" fontId="1" fillId="6" borderId="21" xfId="3" applyFont="1" applyFill="1" applyBorder="1" applyAlignment="1">
      <alignment horizontal="center" vertical="center" wrapText="1"/>
    </xf>
    <xf numFmtId="0" fontId="1" fillId="0" borderId="0" xfId="0" applyFont="1" applyAlignment="1">
      <alignment vertical="center"/>
    </xf>
    <xf numFmtId="164" fontId="17" fillId="4" borderId="11" xfId="1" applyNumberFormat="1" applyFont="1" applyFill="1" applyBorder="1" applyAlignment="1">
      <alignment vertical="center" wrapText="1"/>
    </xf>
    <xf numFmtId="165" fontId="11" fillId="0" borderId="19" xfId="3" applyNumberFormat="1" applyFont="1" applyFill="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xf numFmtId="0" fontId="11" fillId="0" borderId="11" xfId="0" applyFont="1" applyBorder="1"/>
    <xf numFmtId="164" fontId="17" fillId="6" borderId="18" xfId="1" applyNumberFormat="1" applyFont="1" applyFill="1" applyBorder="1" applyAlignment="1">
      <alignment vertical="center" wrapText="1"/>
    </xf>
    <xf numFmtId="17" fontId="18" fillId="0" borderId="21" xfId="0" applyNumberFormat="1" applyFont="1" applyBorder="1" applyAlignment="1">
      <alignment horizontal="left" vertical="center" wrapText="1"/>
    </xf>
    <xf numFmtId="17" fontId="1" fillId="0" borderId="21" xfId="0" applyNumberFormat="1" applyFont="1" applyBorder="1" applyAlignment="1">
      <alignment horizontal="left" vertical="center" wrapText="1"/>
    </xf>
    <xf numFmtId="17" fontId="1" fillId="0" borderId="22" xfId="0" applyNumberFormat="1" applyFont="1" applyBorder="1" applyAlignment="1">
      <alignment horizontal="left" vertical="center" wrapText="1"/>
    </xf>
    <xf numFmtId="164" fontId="1" fillId="6" borderId="24" xfId="1" applyNumberFormat="1" applyFont="1" applyFill="1" applyBorder="1" applyAlignment="1">
      <alignment vertical="center" wrapText="1"/>
    </xf>
    <xf numFmtId="0" fontId="1" fillId="2" borderId="21" xfId="1" applyNumberFormat="1" applyFont="1" applyFill="1" applyBorder="1" applyAlignment="1">
      <alignment vertical="center" wrapText="1"/>
    </xf>
    <xf numFmtId="164" fontId="1" fillId="2" borderId="21" xfId="1" applyNumberFormat="1" applyFont="1" applyFill="1" applyBorder="1" applyAlignment="1">
      <alignment vertical="center" wrapText="1"/>
    </xf>
    <xf numFmtId="0" fontId="1" fillId="2" borderId="33" xfId="1" applyNumberFormat="1" applyFont="1" applyFill="1" applyBorder="1" applyAlignment="1">
      <alignment vertical="center" wrapText="1"/>
    </xf>
    <xf numFmtId="17" fontId="11" fillId="0" borderId="22" xfId="0" applyNumberFormat="1" applyFont="1" applyBorder="1" applyAlignment="1">
      <alignment horizontal="left" vertical="top" wrapText="1"/>
    </xf>
    <xf numFmtId="0" fontId="1" fillId="0" borderId="21" xfId="0" applyFont="1" applyBorder="1" applyAlignment="1">
      <alignment horizontal="left" vertical="center" wrapText="1"/>
    </xf>
    <xf numFmtId="17" fontId="11" fillId="0" borderId="7" xfId="0" applyNumberFormat="1" applyFont="1" applyBorder="1" applyAlignment="1">
      <alignment vertical="center" wrapText="1"/>
    </xf>
    <xf numFmtId="0" fontId="1" fillId="2" borderId="21" xfId="1" applyNumberFormat="1" applyFont="1" applyFill="1" applyBorder="1" applyAlignment="1">
      <alignment horizontal="left" vertical="center" wrapText="1"/>
    </xf>
    <xf numFmtId="9" fontId="11" fillId="0" borderId="21" xfId="0" applyNumberFormat="1" applyFont="1" applyBorder="1" applyAlignment="1">
      <alignment horizontal="center" vertical="center" wrapText="1"/>
    </xf>
    <xf numFmtId="9" fontId="14" fillId="0" borderId="21" xfId="0" applyNumberFormat="1" applyFont="1" applyBorder="1" applyAlignment="1">
      <alignment horizontal="center" vertical="center" wrapText="1"/>
    </xf>
    <xf numFmtId="17" fontId="14" fillId="0" borderId="21" xfId="0" applyNumberFormat="1" applyFont="1" applyBorder="1" applyAlignment="1">
      <alignment horizontal="left" vertical="center" wrapText="1"/>
    </xf>
    <xf numFmtId="164" fontId="11" fillId="3" borderId="8" xfId="1" applyNumberFormat="1" applyFont="1" applyFill="1" applyBorder="1" applyAlignment="1">
      <alignment horizontal="center" vertical="center" wrapText="1"/>
    </xf>
    <xf numFmtId="164" fontId="11" fillId="3" borderId="10" xfId="1" applyNumberFormat="1" applyFont="1" applyFill="1" applyBorder="1" applyAlignment="1">
      <alignment horizontal="center" vertical="center" wrapText="1"/>
    </xf>
    <xf numFmtId="164" fontId="11" fillId="3" borderId="26" xfId="1" applyNumberFormat="1" applyFont="1" applyFill="1" applyBorder="1" applyAlignment="1">
      <alignment horizontal="center" vertical="center" wrapText="1"/>
    </xf>
    <xf numFmtId="164" fontId="11" fillId="3" borderId="20" xfId="1" applyNumberFormat="1" applyFont="1" applyFill="1" applyBorder="1" applyAlignment="1">
      <alignment horizontal="center" vertical="center" wrapText="1"/>
    </xf>
    <xf numFmtId="164" fontId="11" fillId="3" borderId="19" xfId="1" applyNumberFormat="1" applyFont="1" applyFill="1" applyBorder="1" applyAlignment="1">
      <alignment horizontal="center" vertical="center" wrapText="1"/>
    </xf>
    <xf numFmtId="17" fontId="11" fillId="0" borderId="18" xfId="0" applyNumberFormat="1" applyFont="1" applyBorder="1" applyAlignment="1">
      <alignment horizontal="left" vertical="center" wrapText="1"/>
    </xf>
    <xf numFmtId="17" fontId="11" fillId="0" borderId="20" xfId="0" applyNumberFormat="1" applyFont="1" applyBorder="1" applyAlignment="1">
      <alignment horizontal="left" vertical="center" wrapText="1"/>
    </xf>
    <xf numFmtId="9" fontId="10" fillId="7" borderId="30" xfId="3" applyFont="1" applyFill="1" applyBorder="1" applyAlignment="1">
      <alignment horizontal="center" vertical="center" wrapText="1"/>
    </xf>
    <xf numFmtId="9" fontId="10" fillId="7" borderId="31" xfId="3" applyFont="1" applyFill="1" applyBorder="1" applyAlignment="1">
      <alignment horizontal="center" vertical="center" wrapText="1"/>
    </xf>
    <xf numFmtId="9" fontId="10" fillId="7" borderId="32" xfId="3" applyFont="1" applyFill="1" applyBorder="1" applyAlignment="1">
      <alignment horizontal="center" vertical="center" wrapText="1"/>
    </xf>
    <xf numFmtId="9" fontId="10" fillId="7" borderId="7" xfId="3" applyFont="1" applyFill="1" applyBorder="1" applyAlignment="1">
      <alignment horizontal="center" vertical="center" wrapText="1"/>
    </xf>
    <xf numFmtId="9" fontId="10" fillId="7" borderId="8" xfId="3" applyFont="1" applyFill="1" applyBorder="1" applyAlignment="1">
      <alignment horizontal="center" vertical="center" wrapText="1"/>
    </xf>
    <xf numFmtId="9" fontId="10" fillId="7" borderId="10" xfId="3" applyFont="1" applyFill="1" applyBorder="1" applyAlignment="1">
      <alignment horizontal="center" vertical="center" wrapText="1"/>
    </xf>
    <xf numFmtId="9" fontId="10" fillId="7" borderId="4" xfId="3" applyFont="1" applyFill="1" applyBorder="1" applyAlignment="1">
      <alignment horizontal="center" vertical="center" wrapText="1"/>
    </xf>
    <xf numFmtId="9" fontId="10" fillId="7" borderId="5" xfId="3" applyFont="1" applyFill="1" applyBorder="1" applyAlignment="1">
      <alignment horizontal="center" vertical="center" wrapText="1"/>
    </xf>
    <xf numFmtId="9" fontId="10" fillId="7" borderId="1" xfId="3" applyFont="1" applyFill="1" applyBorder="1" applyAlignment="1">
      <alignment horizontal="center" vertical="center" wrapText="1"/>
    </xf>
    <xf numFmtId="164" fontId="11" fillId="3" borderId="27" xfId="1" applyNumberFormat="1" applyFont="1" applyFill="1" applyBorder="1" applyAlignment="1">
      <alignment horizontal="center" vertical="center" wrapText="1"/>
    </xf>
    <xf numFmtId="164" fontId="11" fillId="3" borderId="28" xfId="1" applyNumberFormat="1" applyFont="1" applyFill="1" applyBorder="1" applyAlignment="1">
      <alignment horizontal="center" vertical="center" wrapText="1"/>
    </xf>
    <xf numFmtId="164" fontId="11" fillId="3" borderId="29" xfId="1" applyNumberFormat="1" applyFont="1" applyFill="1" applyBorder="1" applyAlignment="1">
      <alignment horizontal="center" vertical="center" wrapText="1"/>
    </xf>
    <xf numFmtId="164" fontId="11" fillId="3" borderId="21" xfId="1" applyNumberFormat="1" applyFont="1" applyFill="1" applyBorder="1" applyAlignment="1">
      <alignment horizontal="center" vertical="center" wrapText="1"/>
    </xf>
    <xf numFmtId="9" fontId="10" fillId="7" borderId="6" xfId="3" applyFont="1" applyFill="1" applyBorder="1" applyAlignment="1">
      <alignment horizontal="center" vertical="center" wrapText="1"/>
    </xf>
    <xf numFmtId="9" fontId="10" fillId="7" borderId="9" xfId="3" applyFont="1" applyFill="1" applyBorder="1" applyAlignment="1">
      <alignment horizontal="center" vertical="center" wrapText="1"/>
    </xf>
    <xf numFmtId="9" fontId="10" fillId="7" borderId="15" xfId="3" applyFont="1" applyFill="1" applyBorder="1" applyAlignment="1">
      <alignment horizontal="center" vertical="center" wrapText="1"/>
    </xf>
    <xf numFmtId="0" fontId="16" fillId="4" borderId="0" xfId="0" applyFont="1" applyFill="1" applyAlignment="1" applyProtection="1">
      <alignment horizontal="center" vertical="center"/>
      <protection locked="0"/>
    </xf>
    <xf numFmtId="0" fontId="15" fillId="5" borderId="7" xfId="0" applyFont="1" applyFill="1" applyBorder="1" applyAlignment="1">
      <alignment horizontal="center" vertical="center"/>
    </xf>
    <xf numFmtId="0" fontId="15" fillId="5" borderId="0" xfId="0" applyFont="1" applyFill="1" applyAlignment="1">
      <alignment horizontal="center" vertical="center"/>
    </xf>
    <xf numFmtId="0" fontId="15" fillId="5" borderId="1" xfId="0" applyFont="1" applyFill="1" applyBorder="1" applyAlignment="1">
      <alignment horizontal="center" vertical="center"/>
    </xf>
    <xf numFmtId="0" fontId="15" fillId="5" borderId="6" xfId="0" applyFont="1" applyFill="1" applyBorder="1" applyAlignment="1">
      <alignment horizontal="center"/>
    </xf>
    <xf numFmtId="0" fontId="15" fillId="5" borderId="8" xfId="0" applyFont="1" applyFill="1" applyBorder="1" applyAlignment="1">
      <alignment horizontal="center"/>
    </xf>
    <xf numFmtId="0" fontId="15" fillId="5" borderId="10" xfId="0" applyFont="1" applyFill="1" applyBorder="1" applyAlignment="1">
      <alignment horizontal="center"/>
    </xf>
  </cellXfs>
  <cellStyles count="4">
    <cellStyle name="Comma" xfId="1" builtinId="3"/>
    <cellStyle name="Comma 2 2" xfId="2" xr:uid="{00000000-0005-0000-0000-000001000000}"/>
    <cellStyle name="Normal" xfId="0" builtinId="0"/>
    <cellStyle name="Percent" xfId="3" builtinId="5"/>
  </cellStyles>
  <dxfs count="3">
    <dxf>
      <font>
        <color rgb="FF9C0006"/>
      </font>
      <fill>
        <patternFill>
          <bgColor rgb="FFFFC7CE"/>
        </patternFill>
      </fill>
    </dxf>
    <dxf>
      <font>
        <color rgb="FF9C0006"/>
      </font>
      <fill>
        <patternFill>
          <bgColor rgb="FFFFC7CE"/>
        </patternFill>
      </fill>
    </dxf>
    <dxf>
      <fill>
        <patternFill>
          <bgColor rgb="FFFF7C8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8"/>
  <sheetViews>
    <sheetView tabSelected="1" zoomScale="69" zoomScaleNormal="118" zoomScaleSheetLayoutView="50" workbookViewId="0">
      <selection activeCell="E26" sqref="E26"/>
    </sheetView>
  </sheetViews>
  <sheetFormatPr defaultRowHeight="13.2" x14ac:dyDescent="0.25"/>
  <cols>
    <col min="2" max="2" width="2.6640625" customWidth="1"/>
    <col min="3" max="3" width="60.6640625" customWidth="1"/>
    <col min="4" max="4" width="14.44140625" customWidth="1"/>
    <col min="5" max="5" width="84" style="5" customWidth="1"/>
    <col min="6" max="6" width="17.5546875" style="6" customWidth="1"/>
    <col min="7" max="7" width="23.33203125" style="5" customWidth="1"/>
    <col min="8" max="8" width="17.44140625" style="5" customWidth="1"/>
    <col min="9" max="9" width="43.6640625" style="38" customWidth="1"/>
    <col min="10" max="10" width="2.6640625" customWidth="1"/>
  </cols>
  <sheetData>
    <row r="1" spans="2:15" ht="32.1" customHeight="1" thickBot="1" x14ac:dyDescent="0.3">
      <c r="I1" s="73"/>
    </row>
    <row r="2" spans="2:15" s="1" customFormat="1" ht="21.6" customHeight="1" thickBot="1" x14ac:dyDescent="0.5">
      <c r="B2" s="15"/>
      <c r="C2" s="19"/>
      <c r="D2" s="19"/>
      <c r="E2" s="20"/>
      <c r="F2" s="21" t="s">
        <v>0</v>
      </c>
      <c r="G2" s="21"/>
      <c r="H2" s="21"/>
      <c r="I2" s="39"/>
      <c r="J2" s="22"/>
    </row>
    <row r="3" spans="2:15" s="2" customFormat="1" ht="22.35" customHeight="1" x14ac:dyDescent="0.4">
      <c r="B3" s="16"/>
      <c r="C3" s="142" t="s">
        <v>1</v>
      </c>
      <c r="D3" s="143"/>
      <c r="E3" s="144"/>
      <c r="F3" s="138" t="s">
        <v>2</v>
      </c>
      <c r="G3" s="138"/>
      <c r="H3" s="138"/>
      <c r="I3" s="40"/>
      <c r="J3" s="23"/>
    </row>
    <row r="4" spans="2:15" s="2" customFormat="1" ht="23.1" customHeight="1" x14ac:dyDescent="0.4">
      <c r="B4" s="16"/>
      <c r="C4" s="139">
        <v>2023</v>
      </c>
      <c r="D4" s="140"/>
      <c r="E4" s="141"/>
      <c r="F4" s="138"/>
      <c r="G4" s="138"/>
      <c r="H4" s="138"/>
      <c r="I4" s="40"/>
      <c r="J4" s="23"/>
    </row>
    <row r="5" spans="2:15" s="2" customFormat="1" ht="20.85" customHeight="1" x14ac:dyDescent="0.4">
      <c r="B5" s="16"/>
      <c r="C5" s="24"/>
      <c r="D5" s="25"/>
      <c r="E5" s="26"/>
      <c r="F5" s="138" t="s">
        <v>3</v>
      </c>
      <c r="G5" s="138"/>
      <c r="H5" s="138"/>
      <c r="I5" s="40"/>
      <c r="J5" s="23"/>
    </row>
    <row r="6" spans="2:15" s="3" customFormat="1" ht="20.100000000000001" customHeight="1" x14ac:dyDescent="0.4">
      <c r="B6" s="17"/>
      <c r="C6" s="135" t="s">
        <v>4</v>
      </c>
      <c r="D6" s="126"/>
      <c r="E6" s="126"/>
      <c r="F6" s="126"/>
      <c r="G6" s="126"/>
      <c r="H6" s="136"/>
      <c r="I6" s="137"/>
      <c r="J6" s="23"/>
    </row>
    <row r="7" spans="2:15" s="4" customFormat="1" ht="29.85" customHeight="1" x14ac:dyDescent="0.25">
      <c r="B7" s="74"/>
      <c r="C7" s="54" t="s">
        <v>5</v>
      </c>
      <c r="D7" s="54" t="s">
        <v>6</v>
      </c>
      <c r="E7" s="54" t="s">
        <v>7</v>
      </c>
      <c r="F7" s="54" t="s">
        <v>8</v>
      </c>
      <c r="G7" s="54" t="s">
        <v>9</v>
      </c>
      <c r="H7" s="69" t="s">
        <v>10</v>
      </c>
      <c r="I7" s="50" t="s">
        <v>11</v>
      </c>
      <c r="J7" s="75"/>
      <c r="K7" s="76"/>
      <c r="L7" s="76"/>
      <c r="M7" s="76"/>
      <c r="N7" s="76"/>
      <c r="O7" s="76"/>
    </row>
    <row r="8" spans="2:15" s="4" customFormat="1" ht="18" customHeight="1" thickBot="1" x14ac:dyDescent="0.3">
      <c r="B8" s="74"/>
      <c r="C8" s="67"/>
      <c r="D8" s="60"/>
      <c r="E8" s="56"/>
      <c r="F8" s="68"/>
      <c r="G8" s="66"/>
      <c r="H8" s="64">
        <f>G8*D8</f>
        <v>0</v>
      </c>
      <c r="I8" s="77"/>
      <c r="J8" s="78"/>
      <c r="K8" s="76"/>
      <c r="L8" s="76"/>
      <c r="M8" s="76"/>
      <c r="N8" s="76"/>
      <c r="O8" s="76"/>
    </row>
    <row r="9" spans="2:15" s="4" customFormat="1" ht="18" hidden="1" customHeight="1" x14ac:dyDescent="0.25">
      <c r="B9" s="74"/>
      <c r="C9" s="48"/>
      <c r="D9" s="79"/>
      <c r="E9" s="80"/>
      <c r="F9" s="81"/>
      <c r="G9" s="82"/>
      <c r="H9" s="79">
        <f>G9*D9</f>
        <v>0</v>
      </c>
      <c r="I9" s="41"/>
      <c r="J9" s="78"/>
      <c r="K9" s="76"/>
      <c r="L9" s="76"/>
      <c r="M9" s="76"/>
      <c r="N9" s="76"/>
      <c r="O9" s="76"/>
    </row>
    <row r="10" spans="2:15" s="4" customFormat="1" ht="18" hidden="1" customHeight="1" x14ac:dyDescent="0.25">
      <c r="B10" s="74"/>
      <c r="C10" s="48"/>
      <c r="D10" s="79"/>
      <c r="E10" s="83"/>
      <c r="F10" s="81"/>
      <c r="G10" s="84"/>
      <c r="H10" s="79">
        <f>G10*D10</f>
        <v>0</v>
      </c>
      <c r="I10" s="47"/>
      <c r="J10" s="78"/>
      <c r="K10" s="76"/>
      <c r="L10" s="76"/>
      <c r="M10" s="76"/>
      <c r="N10" s="76"/>
      <c r="O10" s="85"/>
    </row>
    <row r="11" spans="2:15" s="4" customFormat="1" ht="18" hidden="1" customHeight="1" x14ac:dyDescent="0.25">
      <c r="B11" s="74"/>
      <c r="C11" s="48"/>
      <c r="D11" s="79"/>
      <c r="E11" s="86"/>
      <c r="F11" s="45"/>
      <c r="G11" s="87"/>
      <c r="H11" s="79">
        <f>G11*D11</f>
        <v>0</v>
      </c>
      <c r="I11" s="47"/>
      <c r="J11" s="78"/>
      <c r="K11" s="76"/>
      <c r="L11" s="76"/>
      <c r="M11" s="76"/>
      <c r="N11" s="76"/>
      <c r="O11" s="76"/>
    </row>
    <row r="12" spans="2:15" s="4" customFormat="1" ht="13.8" hidden="1" thickBot="1" x14ac:dyDescent="0.3">
      <c r="B12" s="74"/>
      <c r="C12" s="48"/>
      <c r="D12" s="88"/>
      <c r="E12" s="89"/>
      <c r="F12" s="90"/>
      <c r="G12" s="91"/>
      <c r="H12" s="88">
        <f>G12*D12</f>
        <v>0</v>
      </c>
      <c r="I12" s="92"/>
      <c r="J12" s="78"/>
      <c r="K12" s="76"/>
      <c r="L12" s="76"/>
      <c r="M12" s="76"/>
      <c r="N12" s="76"/>
      <c r="O12" s="76"/>
    </row>
    <row r="13" spans="2:15" s="32" customFormat="1" ht="43.5" customHeight="1" thickBot="1" x14ac:dyDescent="0.3">
      <c r="B13" s="30"/>
      <c r="C13" s="50" t="s">
        <v>12</v>
      </c>
      <c r="D13" s="33">
        <v>0.1</v>
      </c>
      <c r="E13" s="100" t="s">
        <v>13</v>
      </c>
      <c r="F13" s="95"/>
      <c r="G13" s="49"/>
      <c r="H13" s="34">
        <f>SUM(H8:H12)</f>
        <v>0</v>
      </c>
      <c r="I13" s="46"/>
      <c r="J13" s="31"/>
    </row>
    <row r="14" spans="2:15" s="3" customFormat="1" ht="20.100000000000001" customHeight="1" thickBot="1" x14ac:dyDescent="0.35">
      <c r="B14" s="17"/>
      <c r="C14" s="122" t="s">
        <v>14</v>
      </c>
      <c r="D14" s="123"/>
      <c r="E14" s="123"/>
      <c r="F14" s="123"/>
      <c r="G14" s="123"/>
      <c r="H14" s="123"/>
      <c r="I14" s="124"/>
      <c r="J14" s="7"/>
    </row>
    <row r="15" spans="2:15" s="4" customFormat="1" ht="29.85" customHeight="1" thickBot="1" x14ac:dyDescent="0.3">
      <c r="B15" s="74"/>
      <c r="C15" s="54" t="s">
        <v>5</v>
      </c>
      <c r="D15" s="54" t="s">
        <v>6</v>
      </c>
      <c r="E15" s="54"/>
      <c r="F15" s="54" t="s">
        <v>8</v>
      </c>
      <c r="G15" s="54" t="s">
        <v>9</v>
      </c>
      <c r="H15" s="54" t="s">
        <v>10</v>
      </c>
      <c r="I15" s="54" t="s">
        <v>11</v>
      </c>
      <c r="J15" s="78"/>
      <c r="K15" s="76"/>
      <c r="L15" s="76"/>
      <c r="M15" s="76"/>
      <c r="N15" s="76"/>
      <c r="O15" s="76"/>
    </row>
    <row r="16" spans="2:15" s="4" customFormat="1" ht="67.2" customHeight="1" thickBot="1" x14ac:dyDescent="0.3">
      <c r="B16" s="74"/>
      <c r="C16" s="101" t="s">
        <v>15</v>
      </c>
      <c r="D16" s="112">
        <v>0.05</v>
      </c>
      <c r="E16" s="104" t="s">
        <v>16</v>
      </c>
      <c r="F16" s="54"/>
      <c r="G16" s="66"/>
      <c r="H16" s="112">
        <v>0</v>
      </c>
      <c r="I16" s="54"/>
      <c r="J16" s="78"/>
      <c r="K16" s="76"/>
      <c r="L16" s="76"/>
      <c r="M16" s="76"/>
      <c r="N16" s="76"/>
      <c r="O16" s="76"/>
    </row>
    <row r="17" spans="1:15" s="4" customFormat="1" ht="42.6" customHeight="1" thickBot="1" x14ac:dyDescent="0.3">
      <c r="A17" s="76"/>
      <c r="B17" s="74"/>
      <c r="C17" s="102" t="s">
        <v>17</v>
      </c>
      <c r="D17" s="60">
        <v>0.1</v>
      </c>
      <c r="E17" s="104" t="s">
        <v>18</v>
      </c>
      <c r="F17" s="58"/>
      <c r="G17" s="66"/>
      <c r="H17" s="60">
        <v>0</v>
      </c>
      <c r="I17" s="59" t="s">
        <v>19</v>
      </c>
      <c r="J17" s="78"/>
      <c r="K17" s="76"/>
      <c r="L17" s="76"/>
      <c r="M17" s="76"/>
      <c r="N17" s="76"/>
      <c r="O17" s="76"/>
    </row>
    <row r="18" spans="1:15" s="4" customFormat="1" ht="68.099999999999994" customHeight="1" thickBot="1" x14ac:dyDescent="0.3">
      <c r="A18" s="76"/>
      <c r="B18" s="74"/>
      <c r="C18" s="102" t="s">
        <v>20</v>
      </c>
      <c r="D18" s="60">
        <v>0.1</v>
      </c>
      <c r="E18" s="105" t="s">
        <v>21</v>
      </c>
      <c r="F18" s="58"/>
      <c r="G18" s="66"/>
      <c r="H18" s="60">
        <v>0</v>
      </c>
      <c r="I18" s="59"/>
      <c r="J18" s="78"/>
      <c r="K18" s="76"/>
      <c r="L18" s="76"/>
      <c r="M18" s="76"/>
      <c r="N18" s="76"/>
      <c r="O18" s="76"/>
    </row>
    <row r="19" spans="1:15" ht="71.099999999999994" customHeight="1" thickBot="1" x14ac:dyDescent="0.3">
      <c r="B19" s="18"/>
      <c r="C19" s="102" t="s">
        <v>22</v>
      </c>
      <c r="D19" s="60">
        <v>0.1</v>
      </c>
      <c r="E19" s="105" t="s">
        <v>23</v>
      </c>
      <c r="F19" s="58"/>
      <c r="G19" s="66"/>
      <c r="H19" s="60">
        <v>0</v>
      </c>
      <c r="I19" s="59"/>
      <c r="J19" s="8"/>
    </row>
    <row r="20" spans="1:15" ht="82.5" customHeight="1" thickBot="1" x14ac:dyDescent="0.3">
      <c r="B20" s="18"/>
      <c r="C20" s="102" t="s">
        <v>24</v>
      </c>
      <c r="D20" s="60">
        <v>0.1</v>
      </c>
      <c r="E20" s="106" t="s">
        <v>25</v>
      </c>
      <c r="F20" s="58"/>
      <c r="G20" s="66"/>
      <c r="H20" s="60">
        <v>0</v>
      </c>
      <c r="I20" s="59"/>
      <c r="J20" s="8"/>
    </row>
    <row r="21" spans="1:15" ht="100.2" customHeight="1" thickBot="1" x14ac:dyDescent="0.3">
      <c r="B21" s="18"/>
      <c r="C21" s="103" t="s">
        <v>26</v>
      </c>
      <c r="D21" s="60">
        <v>0.1</v>
      </c>
      <c r="E21" s="105" t="s">
        <v>27</v>
      </c>
      <c r="F21" s="58"/>
      <c r="G21" s="66"/>
      <c r="H21" s="60">
        <v>0</v>
      </c>
      <c r="I21" s="59"/>
      <c r="J21" s="8"/>
    </row>
    <row r="22" spans="1:15" ht="70.2" customHeight="1" x14ac:dyDescent="0.25">
      <c r="B22" s="18"/>
      <c r="C22" s="108" t="s">
        <v>28</v>
      </c>
      <c r="D22" s="60">
        <v>0.05</v>
      </c>
      <c r="E22" s="107" t="s">
        <v>29</v>
      </c>
      <c r="F22" s="60"/>
      <c r="G22" s="66"/>
      <c r="H22" s="60">
        <v>0</v>
      </c>
      <c r="I22" s="60"/>
      <c r="J22" s="8"/>
    </row>
    <row r="23" spans="1:15" s="29" customFormat="1" ht="23.25" customHeight="1" thickBot="1" x14ac:dyDescent="0.3">
      <c r="B23" s="27"/>
      <c r="C23" s="71" t="s">
        <v>30</v>
      </c>
      <c r="D23" s="70">
        <f>SUM(D17:D21)</f>
        <v>0.5</v>
      </c>
      <c r="E23" s="131"/>
      <c r="F23" s="132"/>
      <c r="G23" s="133"/>
      <c r="H23" s="52">
        <f>SUM(H17:H21)</f>
        <v>0</v>
      </c>
      <c r="I23" s="53"/>
      <c r="J23" s="28"/>
    </row>
    <row r="24" spans="1:15" s="3" customFormat="1" ht="20.100000000000001" customHeight="1" x14ac:dyDescent="0.3">
      <c r="B24" s="17"/>
      <c r="C24" s="125" t="s">
        <v>31</v>
      </c>
      <c r="D24" s="126"/>
      <c r="E24" s="126"/>
      <c r="F24" s="126"/>
      <c r="G24" s="126"/>
      <c r="H24" s="126"/>
      <c r="I24" s="127"/>
      <c r="J24" s="7"/>
    </row>
    <row r="25" spans="1:15" s="4" customFormat="1" ht="29.85" customHeight="1" thickBot="1" x14ac:dyDescent="0.3">
      <c r="A25" s="76"/>
      <c r="B25" s="74"/>
      <c r="C25" s="54" t="s">
        <v>5</v>
      </c>
      <c r="D25" s="54" t="s">
        <v>6</v>
      </c>
      <c r="E25" s="54" t="s">
        <v>7</v>
      </c>
      <c r="F25" s="54" t="s">
        <v>8</v>
      </c>
      <c r="G25" s="54" t="s">
        <v>9</v>
      </c>
      <c r="H25" s="54" t="s">
        <v>10</v>
      </c>
      <c r="I25" s="54" t="s">
        <v>11</v>
      </c>
      <c r="J25" s="78"/>
      <c r="K25" s="76"/>
      <c r="L25" s="76"/>
      <c r="M25" s="76"/>
      <c r="N25" s="76"/>
      <c r="O25" s="76"/>
    </row>
    <row r="26" spans="1:15" ht="66.599999999999994" thickBot="1" x14ac:dyDescent="0.3">
      <c r="B26" s="18"/>
      <c r="C26" s="102" t="s">
        <v>32</v>
      </c>
      <c r="D26" s="60">
        <v>0.1</v>
      </c>
      <c r="E26" s="56" t="s">
        <v>33</v>
      </c>
      <c r="F26" s="58"/>
      <c r="G26" s="66"/>
      <c r="H26" s="60">
        <f>G26*D26</f>
        <v>0</v>
      </c>
      <c r="I26" s="59"/>
      <c r="J26" s="8"/>
    </row>
    <row r="27" spans="1:15" ht="90.6" customHeight="1" thickBot="1" x14ac:dyDescent="0.3">
      <c r="B27" s="36"/>
      <c r="C27" s="102" t="s">
        <v>34</v>
      </c>
      <c r="D27" s="60">
        <v>0.1</v>
      </c>
      <c r="E27" s="56" t="s">
        <v>35</v>
      </c>
      <c r="F27" s="58"/>
      <c r="G27" s="93"/>
      <c r="H27" s="60">
        <f>G27*D27</f>
        <v>0</v>
      </c>
      <c r="I27" s="59"/>
      <c r="J27" s="37"/>
      <c r="L27" s="94"/>
    </row>
    <row r="28" spans="1:15" s="29" customFormat="1" ht="25.5" customHeight="1" thickBot="1" x14ac:dyDescent="0.3">
      <c r="B28" s="27"/>
      <c r="C28" s="54" t="s">
        <v>36</v>
      </c>
      <c r="D28" s="61">
        <f>SUM(D26:D27)</f>
        <v>0.2</v>
      </c>
      <c r="E28" s="134"/>
      <c r="F28" s="134"/>
      <c r="G28" s="134"/>
      <c r="H28" s="62">
        <f>SUM(H26:H27)</f>
        <v>0</v>
      </c>
      <c r="I28" s="63"/>
      <c r="J28" s="28"/>
    </row>
    <row r="29" spans="1:15" s="3" customFormat="1" ht="20.100000000000001" customHeight="1" x14ac:dyDescent="0.3">
      <c r="B29" s="17"/>
      <c r="C29" s="128" t="s">
        <v>37</v>
      </c>
      <c r="D29" s="129"/>
      <c r="E29" s="129"/>
      <c r="F29" s="129"/>
      <c r="G29" s="129"/>
      <c r="H29" s="129"/>
      <c r="I29" s="130"/>
      <c r="J29" s="7"/>
    </row>
    <row r="30" spans="1:15" s="4" customFormat="1" ht="34.5" customHeight="1" thickBot="1" x14ac:dyDescent="0.3">
      <c r="A30" s="76"/>
      <c r="B30" s="74"/>
      <c r="C30" s="54" t="s">
        <v>5</v>
      </c>
      <c r="D30" s="54" t="s">
        <v>6</v>
      </c>
      <c r="E30" s="54" t="s">
        <v>7</v>
      </c>
      <c r="F30" s="54" t="s">
        <v>8</v>
      </c>
      <c r="G30" s="54" t="s">
        <v>9</v>
      </c>
      <c r="H30" s="54" t="s">
        <v>10</v>
      </c>
      <c r="I30" s="54" t="s">
        <v>11</v>
      </c>
      <c r="J30" s="78"/>
      <c r="K30" s="76"/>
      <c r="L30" s="76"/>
      <c r="M30" s="76"/>
      <c r="N30" s="76"/>
      <c r="O30" s="76"/>
    </row>
    <row r="31" spans="1:15" s="4" customFormat="1" ht="70.95" customHeight="1" thickBot="1" x14ac:dyDescent="0.3">
      <c r="A31" s="76"/>
      <c r="B31" s="74"/>
      <c r="C31" s="109" t="s">
        <v>38</v>
      </c>
      <c r="D31" s="113">
        <v>0.05</v>
      </c>
      <c r="E31" s="111" t="s">
        <v>39</v>
      </c>
      <c r="F31" s="65"/>
      <c r="G31" s="66"/>
      <c r="H31" s="60">
        <v>0</v>
      </c>
      <c r="I31" s="65"/>
      <c r="J31" s="78"/>
      <c r="K31" s="76"/>
      <c r="L31" s="76"/>
      <c r="M31" s="76"/>
      <c r="N31" s="76"/>
      <c r="O31" s="76"/>
    </row>
    <row r="32" spans="1:15" ht="132" customHeight="1" thickBot="1" x14ac:dyDescent="0.3">
      <c r="A32" s="76"/>
      <c r="B32" s="18"/>
      <c r="C32" s="102" t="s">
        <v>40</v>
      </c>
      <c r="D32" s="60">
        <v>0.05</v>
      </c>
      <c r="E32" s="111" t="s">
        <v>41</v>
      </c>
      <c r="F32" s="57"/>
      <c r="G32" s="66"/>
      <c r="H32" s="60">
        <f t="shared" ref="H32:H34" si="0">G32*D32</f>
        <v>0</v>
      </c>
      <c r="I32" s="55"/>
      <c r="J32" s="8"/>
    </row>
    <row r="33" spans="1:10" ht="102.6" customHeight="1" thickBot="1" x14ac:dyDescent="0.3">
      <c r="A33" s="76"/>
      <c r="B33" s="18"/>
      <c r="C33" s="114" t="s">
        <v>42</v>
      </c>
      <c r="D33" s="60">
        <v>0.05</v>
      </c>
      <c r="E33" s="111" t="s">
        <v>43</v>
      </c>
      <c r="F33" s="57"/>
      <c r="G33" s="66"/>
      <c r="H33" s="60"/>
      <c r="I33" s="55"/>
      <c r="J33" s="8"/>
    </row>
    <row r="34" spans="1:10" ht="78.599999999999994" customHeight="1" thickBot="1" x14ac:dyDescent="0.3">
      <c r="B34" s="18"/>
      <c r="C34" s="110" t="s">
        <v>44</v>
      </c>
      <c r="D34" s="79">
        <v>0.05</v>
      </c>
      <c r="E34" s="111" t="s">
        <v>45</v>
      </c>
      <c r="F34" s="57"/>
      <c r="G34" s="66"/>
      <c r="H34" s="66">
        <f t="shared" si="0"/>
        <v>0</v>
      </c>
      <c r="I34" s="66"/>
      <c r="J34" s="8"/>
    </row>
    <row r="35" spans="1:10" s="29" customFormat="1" ht="24" customHeight="1" thickBot="1" x14ac:dyDescent="0.3">
      <c r="B35" s="27"/>
      <c r="C35" s="51" t="s">
        <v>46</v>
      </c>
      <c r="D35" s="61">
        <f>SUM(D31:D34)</f>
        <v>0.2</v>
      </c>
      <c r="E35" s="115"/>
      <c r="F35" s="115"/>
      <c r="G35" s="116"/>
      <c r="H35" s="35">
        <f>SUM(H32:H34)</f>
        <v>0</v>
      </c>
      <c r="I35" s="42"/>
      <c r="J35" s="28"/>
    </row>
    <row r="36" spans="1:10" s="29" customFormat="1" ht="24" customHeight="1" thickBot="1" x14ac:dyDescent="0.3">
      <c r="B36" s="27"/>
      <c r="C36" s="51" t="s">
        <v>47</v>
      </c>
      <c r="D36" s="72">
        <f>D23+D28+D35+D13</f>
        <v>0.99999999999999989</v>
      </c>
      <c r="E36" s="117"/>
      <c r="F36" s="117"/>
      <c r="G36" s="117"/>
      <c r="H36" s="118"/>
      <c r="I36" s="119"/>
      <c r="J36" s="28"/>
    </row>
    <row r="37" spans="1:10" s="29" customFormat="1" ht="35.1" customHeight="1" thickBot="1" x14ac:dyDescent="0.3">
      <c r="B37" s="27"/>
      <c r="C37" s="120" t="s">
        <v>48</v>
      </c>
      <c r="D37" s="121"/>
      <c r="E37" s="98"/>
      <c r="F37" s="99"/>
      <c r="G37" s="97" t="str">
        <f>IF(OR((H13/D13=0.8),(H13/D13&gt;0.8)),"YES","NO")</f>
        <v>NO</v>
      </c>
      <c r="H37" s="96">
        <f>H35+H28+H23+H13</f>
        <v>0</v>
      </c>
      <c r="I37" s="43"/>
      <c r="J37" s="28"/>
    </row>
    <row r="38" spans="1:10" ht="15" customHeight="1" thickBot="1" x14ac:dyDescent="0.5">
      <c r="B38" s="10"/>
      <c r="C38" s="11"/>
      <c r="D38" s="11"/>
      <c r="E38" s="12"/>
      <c r="F38" s="13"/>
      <c r="G38" s="14"/>
      <c r="H38" s="14"/>
      <c r="I38" s="44"/>
      <c r="J38" s="9"/>
    </row>
  </sheetData>
  <mergeCells count="14">
    <mergeCell ref="C6:I6"/>
    <mergeCell ref="F3:H3"/>
    <mergeCell ref="F4:H4"/>
    <mergeCell ref="F5:H5"/>
    <mergeCell ref="C4:E4"/>
    <mergeCell ref="C3:E3"/>
    <mergeCell ref="E35:G35"/>
    <mergeCell ref="E36:I36"/>
    <mergeCell ref="C37:D37"/>
    <mergeCell ref="C14:I14"/>
    <mergeCell ref="C24:I24"/>
    <mergeCell ref="C29:I29"/>
    <mergeCell ref="E23:G23"/>
    <mergeCell ref="E28:G28"/>
  </mergeCells>
  <conditionalFormatting sqref="H13">
    <cfRule type="expression" dxfId="2" priority="5" stopIfTrue="1">
      <formula>"if($H$14/$D$14)&lt;80"</formula>
    </cfRule>
  </conditionalFormatting>
  <conditionalFormatting sqref="D36">
    <cfRule type="cellIs" dxfId="1" priority="1" stopIfTrue="1" operator="greaterThan">
      <formula>1</formula>
    </cfRule>
    <cfRule type="cellIs" dxfId="0" priority="2" stopIfTrue="1" operator="lessThan">
      <formula>1</formula>
    </cfRule>
  </conditionalFormatting>
  <pageMargins left="0.75" right="0.75" top="1" bottom="1" header="0.5" footer="0.5"/>
  <pageSetup paperSize="8"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883f19a-e2fc-4a9d-aafb-a3dcd95edae7">
      <UserInfo>
        <DisplayName>Shaheen Lakdawalla</DisplayName>
        <AccountId>25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AC8540583F1D48B208DD42F0A12AD2" ma:contentTypeVersion="5" ma:contentTypeDescription="Create a new document." ma:contentTypeScope="" ma:versionID="41184c3fb0a5015db1ffe7969c514f6e">
  <xsd:schema xmlns:xsd="http://www.w3.org/2001/XMLSchema" xmlns:xs="http://www.w3.org/2001/XMLSchema" xmlns:p="http://schemas.microsoft.com/office/2006/metadata/properties" xmlns:ns2="2a67b59f-f076-4f94-b18d-54dc823f42ad" xmlns:ns3="4883f19a-e2fc-4a9d-aafb-a3dcd95edae7" targetNamespace="http://schemas.microsoft.com/office/2006/metadata/properties" ma:root="true" ma:fieldsID="ddf31b61064c53bcb1fa80400526baf7" ns2:_="" ns3:_="">
    <xsd:import namespace="2a67b59f-f076-4f94-b18d-54dc823f42ad"/>
    <xsd:import namespace="4883f19a-e2fc-4a9d-aafb-a3dcd95edae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67b59f-f076-4f94-b18d-54dc823f4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83f19a-e2fc-4a9d-aafb-a3dcd95edae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8E099D-3271-403D-8073-6116147E26A5}">
  <ds:schemaRefs>
    <ds:schemaRef ds:uri="http://schemas.microsoft.com/office/2006/documentManagement/types"/>
    <ds:schemaRef ds:uri="http://purl.org/dc/terms/"/>
    <ds:schemaRef ds:uri="http://purl.org/dc/dcmitype/"/>
    <ds:schemaRef ds:uri="http://www.w3.org/XML/1998/namespace"/>
    <ds:schemaRef ds:uri="http://purl.org/dc/elements/1.1/"/>
    <ds:schemaRef ds:uri="http://schemas.microsoft.com/office/infopath/2007/PartnerControls"/>
    <ds:schemaRef ds:uri="2a67b59f-f076-4f94-b18d-54dc823f42ad"/>
    <ds:schemaRef ds:uri="http://schemas.openxmlformats.org/package/2006/metadata/core-properties"/>
    <ds:schemaRef ds:uri="4883f19a-e2fc-4a9d-aafb-a3dcd95edae7"/>
    <ds:schemaRef ds:uri="http://schemas.microsoft.com/office/2006/metadata/properties"/>
  </ds:schemaRefs>
</ds:datastoreItem>
</file>

<file path=customXml/itemProps2.xml><?xml version="1.0" encoding="utf-8"?>
<ds:datastoreItem xmlns:ds="http://schemas.openxmlformats.org/officeDocument/2006/customXml" ds:itemID="{6E4C2478-91F8-4D92-BFAC-38B26E446917}">
  <ds:schemaRefs>
    <ds:schemaRef ds:uri="http://schemas.microsoft.com/sharepoint/v3/contenttype/forms"/>
  </ds:schemaRefs>
</ds:datastoreItem>
</file>

<file path=customXml/itemProps3.xml><?xml version="1.0" encoding="utf-8"?>
<ds:datastoreItem xmlns:ds="http://schemas.openxmlformats.org/officeDocument/2006/customXml" ds:itemID="{B7B710BA-E76D-4215-9FE6-45BECEB032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67b59f-f076-4f94-b18d-54dc823f42ad"/>
    <ds:schemaRef ds:uri="4883f19a-e2fc-4a9d-aafb-a3dcd95ed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Scorecard</vt:lpstr>
      <vt:lpstr>Scorecard!Print_Area</vt:lpstr>
    </vt:vector>
  </TitlesOfParts>
  <Manager/>
  <Company>Indianapolis Life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Karl Knapp</dc:creator>
  <cp:keywords/>
  <dc:description/>
  <cp:lastModifiedBy>Shaheen Lakdawalla</cp:lastModifiedBy>
  <cp:revision/>
  <dcterms:created xsi:type="dcterms:W3CDTF">2000-11-14T13:08:12Z</dcterms:created>
  <dcterms:modified xsi:type="dcterms:W3CDTF">2023-03-01T08:42:37Z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0x0101003FAC8540583F1D48B208DD42F0A12AD2</vt:lpwstr>
  </property>
</Properties>
</file>